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OAU\CD Placements\2016 CD Placements\"/>
    </mc:Choice>
  </mc:AlternateContent>
  <bookViews>
    <workbookView xWindow="885" yWindow="60" windowWidth="19965" windowHeight="9210"/>
  </bookViews>
  <sheets>
    <sheet name="1" sheetId="5" r:id="rId1"/>
    <sheet name="Sheet1" sheetId="6" r:id="rId2"/>
  </sheets>
  <definedNames>
    <definedName name="_xlnm.Print_Area" localSheetId="0">'1'!$A$1:$K$85</definedName>
    <definedName name="_xlnm.Print_Titles" localSheetId="0">'1'!$1:$4</definedName>
  </definedNames>
  <calcPr calcId="152511"/>
</workbook>
</file>

<file path=xl/calcChain.xml><?xml version="1.0" encoding="utf-8"?>
<calcChain xmlns="http://schemas.openxmlformats.org/spreadsheetml/2006/main">
  <c r="E81" i="5" l="1"/>
  <c r="G24" i="5" s="1"/>
  <c r="G75" i="5" l="1"/>
  <c r="G45" i="5"/>
  <c r="G8" i="5"/>
  <c r="G68" i="5"/>
  <c r="G60" i="5"/>
  <c r="G49" i="5"/>
  <c r="G35" i="5"/>
  <c r="G64" i="5"/>
  <c r="G27" i="5"/>
  <c r="G16" i="5"/>
  <c r="G13" i="5"/>
  <c r="G76" i="5"/>
  <c r="G65" i="5"/>
  <c r="G57" i="5"/>
  <c r="G46" i="5"/>
  <c r="G31" i="5"/>
  <c r="G12" i="5"/>
  <c r="G53" i="5"/>
  <c r="G17" i="5"/>
  <c r="G9" i="5"/>
  <c r="G69" i="5"/>
  <c r="G61" i="5"/>
  <c r="G50" i="5"/>
  <c r="G42" i="5"/>
  <c r="G23" i="5"/>
  <c r="G15" i="5"/>
  <c r="G11" i="5"/>
  <c r="G7" i="5"/>
  <c r="G74" i="5"/>
  <c r="G67" i="5"/>
  <c r="G63" i="5"/>
  <c r="G59" i="5"/>
  <c r="G52" i="5"/>
  <c r="G48" i="5"/>
  <c r="G44" i="5"/>
  <c r="G37" i="5"/>
  <c r="G33" i="5"/>
  <c r="G29" i="5"/>
  <c r="G25" i="5"/>
  <c r="G38" i="5"/>
  <c r="G34" i="5"/>
  <c r="G30" i="5"/>
  <c r="G26" i="5"/>
  <c r="G22" i="5"/>
  <c r="G6" i="5"/>
  <c r="G14" i="5"/>
  <c r="G10" i="5"/>
  <c r="G21" i="5"/>
  <c r="G70" i="5"/>
  <c r="G66" i="5"/>
  <c r="G62" i="5"/>
  <c r="G58" i="5"/>
  <c r="G51" i="5"/>
  <c r="G47" i="5"/>
  <c r="G43" i="5"/>
  <c r="G36" i="5"/>
  <c r="G32" i="5"/>
  <c r="G28" i="5"/>
</calcChain>
</file>

<file path=xl/sharedStrings.xml><?xml version="1.0" encoding="utf-8"?>
<sst xmlns="http://schemas.openxmlformats.org/spreadsheetml/2006/main" count="154" uniqueCount="145">
  <si>
    <t>BRONX</t>
  </si>
  <si>
    <t>QUEENS</t>
  </si>
  <si>
    <t>BROOKLYN</t>
  </si>
  <si>
    <t>STATEN ISLAND</t>
  </si>
  <si>
    <t>MANHATTAN</t>
  </si>
  <si>
    <t>Number of Placements</t>
  </si>
  <si>
    <t>Rank</t>
  </si>
  <si>
    <t>% of
Placements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</si>
  <si>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</si>
  <si>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</si>
  <si>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</si>
  <si>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</si>
  <si>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</si>
  <si>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</si>
  <si>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BX07 Kingsbridge Heights/Bedford Pk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</si>
  <si>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</si>
  <si>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</si>
  <si>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</si>
  <si>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</si>
  <si>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</si>
  <si>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</si>
  <si>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</si>
  <si>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</si>
  <si>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</si>
  <si>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</si>
  <si>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</si>
  <si>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</si>
  <si>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</si>
  <si>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</si>
  <si>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</si>
  <si>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</si>
  <si>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</si>
  <si>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</si>
  <si>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</si>
  <si>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</si>
  <si>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</si>
  <si>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</si>
  <si>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</si>
  <si>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</si>
  <si>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</si>
  <si>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</si>
  <si>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</si>
  <si>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</si>
  <si>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</si>
  <si>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</si>
  <si>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</si>
  <si>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</si>
  <si>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</si>
  <si>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</si>
  <si>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</si>
  <si>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</si>
  <si>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</si>
  <si>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</si>
  <si>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QN10 South. Ozone Park/Howard Beac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</si>
  <si>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</si>
  <si>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</si>
  <si>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</si>
  <si>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</si>
  <si>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</si>
  <si>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</si>
  <si>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r>
      <t>S102 South Beach/Willowbrook</t>
    </r>
    <r>
      <rPr>
        <sz val="6.5"/>
        <rFont val="Garamond"/>
        <family val="1"/>
      </rPr>
      <t/>
    </r>
  </si>
  <si>
    <r>
      <t>S103 Tottenville/Great Mils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</si>
  <si>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</si>
  <si>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</t>
  </si>
  <si>
    <t xml:space="preserve">        Unknown Borough</t>
  </si>
  <si>
    <t>NYC Total</t>
  </si>
  <si>
    <r>
      <t>BK14 Flatbush/Midwood</t>
    </r>
    <r>
      <rPr>
        <sz val="6.5"/>
        <rFont val="Garamond"/>
        <family val="1"/>
      </rPr>
      <t/>
    </r>
  </si>
  <si>
    <r>
      <t>S101 Saint George/Stapleton</t>
    </r>
    <r>
      <rPr>
        <sz val="6.5"/>
        <rFont val="Garamond"/>
        <family val="1"/>
      </rPr>
      <t/>
    </r>
  </si>
  <si>
    <t>CY 2014</t>
  </si>
  <si>
    <t>Prepared  by ACS, Division of Policy, Planning and Measurement, Management and Outcome Reporting Unit</t>
  </si>
  <si>
    <t>CY 2015</t>
  </si>
  <si>
    <t>BX01 Mott Haven/Melrose</t>
  </si>
  <si>
    <t>BX02 Hunts Point/Longwood</t>
  </si>
  <si>
    <t>BX03 Morrisania/Crotona</t>
  </si>
  <si>
    <t>BX04 Highbridge/Concourse</t>
  </si>
  <si>
    <t>BX05 Fordham/University Heights</t>
  </si>
  <si>
    <t>BX06 Belmont/East Tremont</t>
  </si>
  <si>
    <t>BX07 Kingsbridge Heights/Bedford Pk</t>
  </si>
  <si>
    <t>BX08 Riverdale/Fieldstone</t>
  </si>
  <si>
    <t>BX09 Parkchester/Soundview</t>
  </si>
  <si>
    <t>BX10 Throgs Neck/Co-op City</t>
  </si>
  <si>
    <t>BX11 Morris Park/Bronxdale</t>
  </si>
  <si>
    <t>BX12 Williamsbridge/Baychester</t>
  </si>
  <si>
    <t>BK01 Greenpoint/Williamsburg</t>
  </si>
  <si>
    <t>BK02 Fort Greene/Brooklyn Heights</t>
  </si>
  <si>
    <t>BK03 Bedford Stuyvesant</t>
  </si>
  <si>
    <t>BK04 Bushwick</t>
  </si>
  <si>
    <t>BK05 East New York/Starrett City</t>
  </si>
  <si>
    <t>BK06 Park Slope/Carroll Gardens</t>
  </si>
  <si>
    <t>BK07 Sunset Park</t>
  </si>
  <si>
    <t>BK08 Crown Heights</t>
  </si>
  <si>
    <t>BK09 South Crown Heights/Prospect</t>
  </si>
  <si>
    <t>BK10 Bay Ridge/Dyker Heights</t>
  </si>
  <si>
    <t>BK11 Bensonhurst</t>
  </si>
  <si>
    <t>BK12 Borough Park</t>
  </si>
  <si>
    <t>BK13 Coney Island</t>
  </si>
  <si>
    <t>BK14 Flatbush/Midwood</t>
  </si>
  <si>
    <t>BK15 Sheepshead Bay</t>
  </si>
  <si>
    <t>BK16 Brownsville</t>
  </si>
  <si>
    <t>BK17 East Flatbush</t>
  </si>
  <si>
    <t>BK18 Flatlands/Canarsie</t>
  </si>
  <si>
    <t>MNO1 Financial District</t>
  </si>
  <si>
    <t>MNO2 Greenwich Village/Soho</t>
  </si>
  <si>
    <t>MNO3 Lower East Side/Chinatown</t>
  </si>
  <si>
    <t>MNO4 Clinton/Chelsea</t>
  </si>
  <si>
    <t>MNO5 Midtown</t>
  </si>
  <si>
    <t>MNO6 Stuyvesant Town/Turtle Bay</t>
  </si>
  <si>
    <t>MNO7 Upper West Side</t>
  </si>
  <si>
    <t>MNO8 Upper East Side</t>
  </si>
  <si>
    <t>MNO9 Morningside Height./Hamilton</t>
  </si>
  <si>
    <t>MN10 Central Harlem</t>
  </si>
  <si>
    <t>MN11 East Harlem</t>
  </si>
  <si>
    <t>MN12 Washington Heights/Inwood</t>
  </si>
  <si>
    <t>QN01 Astoria</t>
  </si>
  <si>
    <t>QNO2 Woodside/Sunnyside</t>
  </si>
  <si>
    <t>QNO3 Jackson Heights</t>
  </si>
  <si>
    <t>QN04 Elmhurst/Corona</t>
  </si>
  <si>
    <t>QN05 Ridgewood/Maspeth</t>
  </si>
  <si>
    <t>QN06 Rego Park/Forest Hills</t>
  </si>
  <si>
    <t>QN07 Flushing/Whitestone</t>
  </si>
  <si>
    <t>QN08 Hillcrest/Fresh Meadows</t>
  </si>
  <si>
    <t>QN09 Ozone Park/Woodhaven</t>
  </si>
  <si>
    <t>QN10 South. Ozone Park/Howard Beac</t>
  </si>
  <si>
    <t>QN11 Bayside/Little Neck</t>
  </si>
  <si>
    <t>QN12 Jamaica/Hollis</t>
  </si>
  <si>
    <t>QN13 Queens Village</t>
  </si>
  <si>
    <t>QN14 Rockaway/Broad Channel</t>
  </si>
  <si>
    <t>S101 Saint George/Stapleton</t>
  </si>
  <si>
    <t>S102 South Beach/Willowbrook</t>
  </si>
  <si>
    <t>S103 Tottenville/Great Mils</t>
  </si>
  <si>
    <t>CD</t>
  </si>
  <si>
    <t>Count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</si>
  <si>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</si>
  <si>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</si>
  <si>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</si>
  <si>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</si>
  <si>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</si>
  <si>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</si>
  <si>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</si>
  <si>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</si>
  <si>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t>MN09 Morningside Height./Hamilton</t>
  </si>
  <si>
    <t>Data Sources: CCRS and Connections</t>
  </si>
  <si>
    <t>CY 2016</t>
  </si>
  <si>
    <t>Foster Care Placements by Borough/CD of Origin CY 2014-2016*</t>
  </si>
  <si>
    <t xml:space="preserve">*Excludes youth who entered foster care in JD placements.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</si>
</sst>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6.5"/>
      <name val="Garamond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4" fillId="0" borderId="0" xfId="1" applyFont="1" applyFill="1" applyAlignment="1">
      <alignment vertical="top" wrapText="1"/>
    </xf>
    <xf numFmtId="0" fontId="4" fillId="0" borderId="0" xfId="1" applyFont="1" applyAlignment="1">
      <alignment vertical="center"/>
    </xf>
    <xf numFmtId="0" fontId="5" fillId="0" borderId="0" xfId="1" applyFont="1" applyFill="1" applyAlignment="1">
      <alignment vertical="top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top"/>
    </xf>
    <xf numFmtId="1" fontId="6" fillId="0" borderId="3" xfId="1" applyNumberFormat="1" applyFont="1" applyFill="1" applyBorder="1" applyAlignment="1">
      <alignment horizontal="right" vertical="center"/>
    </xf>
    <xf numFmtId="164" fontId="6" fillId="0" borderId="5" xfId="2" applyNumberFormat="1" applyFont="1" applyBorder="1" applyAlignment="1">
      <alignment vertical="center" wrapText="1"/>
    </xf>
    <xf numFmtId="164" fontId="6" fillId="0" borderId="0" xfId="2" applyNumberFormat="1" applyFont="1" applyBorder="1" applyAlignment="1">
      <alignment vertical="center" wrapText="1"/>
    </xf>
    <xf numFmtId="0" fontId="6" fillId="0" borderId="3" xfId="1" applyFont="1" applyFill="1" applyBorder="1" applyAlignment="1">
      <alignment horizontal="left" vertical="top"/>
    </xf>
    <xf numFmtId="3" fontId="5" fillId="0" borderId="4" xfId="1" applyNumberFormat="1" applyFont="1" applyFill="1" applyBorder="1" applyAlignment="1">
      <alignment horizontal="right" vertical="center"/>
    </xf>
    <xf numFmtId="0" fontId="5" fillId="0" borderId="4" xfId="1" applyFont="1" applyFill="1" applyBorder="1" applyAlignment="1">
      <alignment horizontal="left" vertical="top"/>
    </xf>
    <xf numFmtId="164" fontId="6" fillId="0" borderId="3" xfId="1" applyNumberFormat="1" applyFont="1" applyFill="1" applyBorder="1" applyAlignment="1">
      <alignment horizontal="right" vertical="center"/>
    </xf>
    <xf numFmtId="164" fontId="6" fillId="0" borderId="4" xfId="2" applyNumberFormat="1" applyFont="1" applyBorder="1" applyAlignment="1">
      <alignment vertical="center" wrapText="1"/>
    </xf>
    <xf numFmtId="1" fontId="5" fillId="0" borderId="4" xfId="1" applyNumberFormat="1" applyFont="1" applyFill="1" applyBorder="1" applyAlignment="1">
      <alignment horizontal="right" vertical="center"/>
    </xf>
    <xf numFmtId="0" fontId="6" fillId="0" borderId="4" xfId="1" applyFont="1" applyFill="1" applyBorder="1" applyAlignment="1">
      <alignment horizontal="left" vertical="top"/>
    </xf>
    <xf numFmtId="1" fontId="6" fillId="0" borderId="5" xfId="1" applyNumberFormat="1" applyFont="1" applyFill="1" applyBorder="1" applyAlignment="1">
      <alignment horizontal="right" vertical="center"/>
    </xf>
    <xf numFmtId="164" fontId="6" fillId="0" borderId="5" xfId="1" applyNumberFormat="1" applyFont="1" applyFill="1" applyBorder="1" applyAlignment="1">
      <alignment horizontal="right" vertical="center"/>
    </xf>
    <xf numFmtId="1" fontId="5" fillId="0" borderId="2" xfId="1" applyNumberFormat="1" applyFont="1" applyFill="1" applyBorder="1" applyAlignment="1">
      <alignment horizontal="right" vertical="center"/>
    </xf>
    <xf numFmtId="0" fontId="5" fillId="0" borderId="2" xfId="1" applyFont="1" applyFill="1" applyBorder="1" applyAlignment="1">
      <alignment horizontal="left" vertical="top"/>
    </xf>
    <xf numFmtId="0" fontId="6" fillId="0" borderId="0" xfId="1" applyFont="1" applyFill="1" applyAlignment="1">
      <alignment vertical="top" wrapText="1"/>
    </xf>
    <xf numFmtId="0" fontId="6" fillId="0" borderId="0" xfId="1" applyFont="1" applyFill="1" applyAlignment="1">
      <alignment vertical="top"/>
    </xf>
    <xf numFmtId="0" fontId="6" fillId="0" borderId="0" xfId="0" applyFont="1"/>
    <xf numFmtId="0" fontId="7" fillId="0" borderId="0" xfId="0" applyFont="1"/>
    <xf numFmtId="0" fontId="6" fillId="0" borderId="0" xfId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6" fillId="0" borderId="0" xfId="1" applyFont="1" applyFill="1" applyBorder="1" applyAlignment="1">
      <alignment vertical="top"/>
    </xf>
    <xf numFmtId="0" fontId="6" fillId="0" borderId="0" xfId="1" applyFont="1" applyFill="1" applyBorder="1" applyAlignment="1"/>
    <xf numFmtId="0" fontId="6" fillId="0" borderId="6" xfId="1" applyFont="1" applyFill="1" applyBorder="1" applyAlignment="1">
      <alignment horizontal="left" vertical="top"/>
    </xf>
    <xf numFmtId="0" fontId="5" fillId="0" borderId="11" xfId="1" applyFont="1" applyFill="1" applyBorder="1" applyAlignment="1">
      <alignment horizontal="left" vertical="center"/>
    </xf>
    <xf numFmtId="0" fontId="5" fillId="0" borderId="12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left" vertical="center" wrapText="1"/>
    </xf>
    <xf numFmtId="0" fontId="6" fillId="0" borderId="14" xfId="1" applyFont="1" applyFill="1" applyBorder="1" applyAlignment="1">
      <alignment horizontal="left" vertical="top"/>
    </xf>
    <xf numFmtId="0" fontId="6" fillId="0" borderId="15" xfId="1" applyFont="1" applyFill="1" applyBorder="1" applyAlignment="1">
      <alignment horizontal="left" vertical="center" wrapText="1"/>
    </xf>
    <xf numFmtId="164" fontId="6" fillId="0" borderId="16" xfId="2" applyNumberFormat="1" applyFont="1" applyBorder="1" applyAlignment="1">
      <alignment vertical="center" wrapText="1"/>
    </xf>
    <xf numFmtId="0" fontId="6" fillId="0" borderId="15" xfId="1" applyFont="1" applyFill="1" applyBorder="1" applyAlignment="1">
      <alignment vertical="center" wrapText="1"/>
    </xf>
    <xf numFmtId="0" fontId="6" fillId="0" borderId="17" xfId="1" applyFont="1" applyFill="1" applyBorder="1" applyAlignment="1">
      <alignment horizontal="left" vertical="top"/>
    </xf>
    <xf numFmtId="0" fontId="5" fillId="0" borderId="18" xfId="1" applyFont="1" applyFill="1" applyBorder="1" applyAlignment="1">
      <alignment vertical="center" wrapText="1"/>
    </xf>
    <xf numFmtId="0" fontId="5" fillId="0" borderId="19" xfId="1" applyFont="1" applyFill="1" applyBorder="1" applyAlignment="1">
      <alignment horizontal="left" vertical="top"/>
    </xf>
    <xf numFmtId="164" fontId="6" fillId="0" borderId="19" xfId="2" applyNumberFormat="1" applyFont="1" applyBorder="1" applyAlignment="1">
      <alignment vertical="center" wrapText="1"/>
    </xf>
    <xf numFmtId="0" fontId="5" fillId="0" borderId="13" xfId="1" applyFont="1" applyFill="1" applyBorder="1" applyAlignment="1">
      <alignment vertical="center" wrapText="1"/>
    </xf>
    <xf numFmtId="0" fontId="5" fillId="0" borderId="14" xfId="1" applyFont="1" applyFill="1" applyBorder="1" applyAlignment="1">
      <alignment horizontal="left" vertical="top"/>
    </xf>
    <xf numFmtId="0" fontId="5" fillId="0" borderId="0" xfId="1" applyFont="1" applyBorder="1" applyAlignment="1">
      <alignment vertical="center"/>
    </xf>
    <xf numFmtId="0" fontId="5" fillId="0" borderId="20" xfId="1" applyFont="1" applyFill="1" applyBorder="1" applyAlignment="1">
      <alignment horizontal="left" vertical="center" wrapText="1"/>
    </xf>
    <xf numFmtId="3" fontId="5" fillId="0" borderId="21" xfId="1" applyNumberFormat="1" applyFont="1" applyFill="1" applyBorder="1" applyAlignment="1">
      <alignment horizontal="right" vertical="center"/>
    </xf>
    <xf numFmtId="0" fontId="5" fillId="0" borderId="21" xfId="1" applyFont="1" applyFill="1" applyBorder="1" applyAlignment="1">
      <alignment horizontal="left" vertical="top"/>
    </xf>
    <xf numFmtId="165" fontId="5" fillId="0" borderId="21" xfId="4" applyNumberFormat="1" applyFont="1" applyFill="1" applyBorder="1" applyAlignment="1">
      <alignment horizontal="right" vertical="center"/>
    </xf>
    <xf numFmtId="0" fontId="5" fillId="0" borderId="22" xfId="1" applyFont="1" applyFill="1" applyBorder="1" applyAlignment="1">
      <alignment horizontal="left" vertical="top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left" wrapText="1"/>
    </xf>
  </cellXfs>
  <cellStyles count="5">
    <cellStyle name="Comma" xfId="4" builtinId="3"/>
    <cellStyle name="Normal" xfId="0" builtinId="0"/>
    <cellStyle name="Normal 2" xfId="3"/>
    <cellStyle name="Normal 3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view="pageBreakPreview" zoomScaleNormal="100" zoomScaleSheetLayoutView="100" workbookViewId="0">
      <selection activeCell="B10" sqref="B10"/>
    </sheetView>
  </sheetViews>
  <sheetFormatPr defaultRowHeight="15" x14ac:dyDescent="0.25"/>
  <cols>
    <col min="1" max="1" width="41.7109375" style="25" customWidth="1"/>
    <col min="2" max="10" width="15.42578125" style="25" customWidth="1"/>
    <col min="11" max="11" width="3.5703125" style="1" customWidth="1"/>
    <col min="12" max="16384" width="9.140625" style="1"/>
  </cols>
  <sheetData>
    <row r="1" spans="1:10" ht="21" customHeight="1" x14ac:dyDescent="0.25">
      <c r="A1" s="54" t="s">
        <v>143</v>
      </c>
      <c r="B1" s="54"/>
      <c r="C1" s="54"/>
      <c r="D1" s="54"/>
      <c r="E1" s="54"/>
      <c r="F1" s="4"/>
      <c r="G1" s="4"/>
      <c r="H1" s="4"/>
      <c r="I1" s="4"/>
      <c r="J1" s="4"/>
    </row>
    <row r="2" spans="1:10" ht="10.5" customHeight="1" thickBot="1" x14ac:dyDescent="0.3">
      <c r="A2" s="28"/>
      <c r="B2" s="28"/>
      <c r="C2" s="28"/>
      <c r="D2" s="28"/>
      <c r="E2" s="28"/>
      <c r="F2" s="29"/>
      <c r="G2" s="28"/>
      <c r="H2" s="28"/>
      <c r="I2" s="28"/>
      <c r="J2" s="28"/>
    </row>
    <row r="3" spans="1:10" ht="22.5" customHeight="1" x14ac:dyDescent="0.25">
      <c r="A3" s="30"/>
      <c r="B3" s="50" t="s">
        <v>68</v>
      </c>
      <c r="C3" s="51"/>
      <c r="D3" s="52"/>
      <c r="E3" s="50" t="s">
        <v>70</v>
      </c>
      <c r="F3" s="51"/>
      <c r="G3" s="52"/>
      <c r="H3" s="50" t="s">
        <v>142</v>
      </c>
      <c r="I3" s="51"/>
      <c r="J3" s="53"/>
    </row>
    <row r="4" spans="1:10" s="27" customFormat="1" ht="30" x14ac:dyDescent="0.25">
      <c r="A4" s="31"/>
      <c r="B4" s="5" t="s">
        <v>5</v>
      </c>
      <c r="C4" s="5" t="s">
        <v>6</v>
      </c>
      <c r="D4" s="5" t="s">
        <v>7</v>
      </c>
      <c r="E4" s="5" t="s">
        <v>5</v>
      </c>
      <c r="F4" s="5" t="s">
        <v>6</v>
      </c>
      <c r="G4" s="5" t="s">
        <v>7</v>
      </c>
      <c r="H4" s="5" t="s">
        <v>5</v>
      </c>
      <c r="I4" s="5" t="s">
        <v>6</v>
      </c>
      <c r="J4" s="32" t="s">
        <v>7</v>
      </c>
    </row>
    <row r="5" spans="1:10" x14ac:dyDescent="0.25">
      <c r="A5" s="33" t="s">
        <v>0</v>
      </c>
      <c r="B5" s="6"/>
      <c r="C5" s="6"/>
      <c r="D5" s="6"/>
      <c r="E5" s="6"/>
      <c r="F5" s="6"/>
      <c r="G5" s="6"/>
      <c r="H5" s="6"/>
      <c r="I5" s="6"/>
      <c r="J5" s="34"/>
    </row>
    <row r="6" spans="1:10" x14ac:dyDescent="0.25">
      <c r="A6" s="35" t="s">
        <v>8</v>
      </c>
      <c r="B6" s="7">
        <v>126</v>
      </c>
      <c r="C6" s="7">
        <v>10</v>
      </c>
      <c r="D6" s="8">
        <v>3.128103277060576E-2</v>
      </c>
      <c r="E6" s="7">
        <v>137</v>
      </c>
      <c r="F6" s="7">
        <v>7</v>
      </c>
      <c r="G6" s="9">
        <f t="shared" ref="G6:G17" si="0">(E6/$E$81)</f>
        <v>3.7137435619409055E-2</v>
      </c>
      <c r="H6" s="7">
        <v>110</v>
      </c>
      <c r="I6" s="7">
        <v>8</v>
      </c>
      <c r="J6" s="36">
        <v>3.137478608100399E-2</v>
      </c>
    </row>
    <row r="7" spans="1:10" x14ac:dyDescent="0.25">
      <c r="A7" s="35" t="s">
        <v>9</v>
      </c>
      <c r="B7" s="7">
        <v>114</v>
      </c>
      <c r="C7" s="7">
        <v>13</v>
      </c>
      <c r="D7" s="8">
        <v>2.8301886792452831E-2</v>
      </c>
      <c r="E7" s="7">
        <v>72</v>
      </c>
      <c r="F7" s="7">
        <v>17</v>
      </c>
      <c r="G7" s="9">
        <f t="shared" si="0"/>
        <v>1.9517484413120088E-2</v>
      </c>
      <c r="H7" s="7">
        <v>73</v>
      </c>
      <c r="I7" s="7">
        <v>19</v>
      </c>
      <c r="J7" s="36">
        <v>2.0821448944666286E-2</v>
      </c>
    </row>
    <row r="8" spans="1:10" x14ac:dyDescent="0.25">
      <c r="A8" s="35" t="s">
        <v>10</v>
      </c>
      <c r="B8" s="7">
        <v>99</v>
      </c>
      <c r="C8" s="7">
        <v>15</v>
      </c>
      <c r="D8" s="8">
        <v>2.4577954319761668E-2</v>
      </c>
      <c r="E8" s="7">
        <v>114</v>
      </c>
      <c r="F8" s="7">
        <v>13</v>
      </c>
      <c r="G8" s="9">
        <f t="shared" si="0"/>
        <v>3.0902683654106804E-2</v>
      </c>
      <c r="H8" s="7">
        <v>97</v>
      </c>
      <c r="I8" s="7">
        <v>11</v>
      </c>
      <c r="J8" s="36">
        <v>2.7666856816885341E-2</v>
      </c>
    </row>
    <row r="9" spans="1:10" x14ac:dyDescent="0.25">
      <c r="A9" s="35" t="s">
        <v>11</v>
      </c>
      <c r="B9" s="7">
        <v>186</v>
      </c>
      <c r="C9" s="7">
        <v>4</v>
      </c>
      <c r="D9" s="8">
        <v>4.6176762661370406E-2</v>
      </c>
      <c r="E9" s="7">
        <v>139</v>
      </c>
      <c r="F9" s="7">
        <v>6</v>
      </c>
      <c r="G9" s="9">
        <f t="shared" si="0"/>
        <v>3.7679587964217942E-2</v>
      </c>
      <c r="H9" s="7">
        <v>141</v>
      </c>
      <c r="I9" s="7">
        <v>6</v>
      </c>
      <c r="J9" s="36">
        <v>4.0216771249286937E-2</v>
      </c>
    </row>
    <row r="10" spans="1:10" x14ac:dyDescent="0.25">
      <c r="A10" s="35" t="s">
        <v>12</v>
      </c>
      <c r="B10" s="7">
        <v>140</v>
      </c>
      <c r="C10" s="7">
        <v>7</v>
      </c>
      <c r="D10" s="8">
        <v>3.4756703078450843E-2</v>
      </c>
      <c r="E10" s="7">
        <v>154</v>
      </c>
      <c r="F10" s="7">
        <v>4</v>
      </c>
      <c r="G10" s="9">
        <f t="shared" si="0"/>
        <v>4.1745730550284632E-2</v>
      </c>
      <c r="H10" s="7">
        <v>98</v>
      </c>
      <c r="I10" s="7">
        <v>10</v>
      </c>
      <c r="J10" s="36">
        <v>2.7952082144894468E-2</v>
      </c>
    </row>
    <row r="11" spans="1:10" x14ac:dyDescent="0.25">
      <c r="A11" s="35" t="s">
        <v>13</v>
      </c>
      <c r="B11" s="7">
        <v>75</v>
      </c>
      <c r="C11" s="7">
        <v>21</v>
      </c>
      <c r="D11" s="8">
        <v>1.8619662363455809E-2</v>
      </c>
      <c r="E11" s="7">
        <v>129</v>
      </c>
      <c r="F11" s="7">
        <v>8</v>
      </c>
      <c r="G11" s="9">
        <f t="shared" si="0"/>
        <v>3.4968826240173487E-2</v>
      </c>
      <c r="H11" s="7">
        <v>91</v>
      </c>
      <c r="I11" s="7">
        <v>13</v>
      </c>
      <c r="J11" s="36">
        <v>2.5955504848830576E-2</v>
      </c>
    </row>
    <row r="12" spans="1:10" x14ac:dyDescent="0.25">
      <c r="A12" s="35" t="s">
        <v>14</v>
      </c>
      <c r="B12" s="7">
        <v>85</v>
      </c>
      <c r="C12" s="7">
        <v>16</v>
      </c>
      <c r="D12" s="8">
        <v>2.1102284011916585E-2</v>
      </c>
      <c r="E12" s="7">
        <v>99</v>
      </c>
      <c r="F12" s="7">
        <v>14</v>
      </c>
      <c r="G12" s="9">
        <f t="shared" si="0"/>
        <v>2.6836541068040121E-2</v>
      </c>
      <c r="H12" s="7">
        <v>78</v>
      </c>
      <c r="I12" s="7">
        <v>18</v>
      </c>
      <c r="J12" s="36">
        <v>2.2247575584711923E-2</v>
      </c>
    </row>
    <row r="13" spans="1:10" x14ac:dyDescent="0.25">
      <c r="A13" s="35" t="s">
        <v>15</v>
      </c>
      <c r="B13" s="7">
        <v>26</v>
      </c>
      <c r="C13" s="7">
        <v>43</v>
      </c>
      <c r="D13" s="8">
        <v>6.4548162859980138E-3</v>
      </c>
      <c r="E13" s="7">
        <v>13</v>
      </c>
      <c r="F13" s="7">
        <v>49</v>
      </c>
      <c r="G13" s="9">
        <f t="shared" si="0"/>
        <v>3.5239902412577935E-3</v>
      </c>
      <c r="H13" s="7">
        <v>14</v>
      </c>
      <c r="I13" s="7">
        <v>52</v>
      </c>
      <c r="J13" s="36">
        <v>3.9931545921277813E-3</v>
      </c>
    </row>
    <row r="14" spans="1:10" x14ac:dyDescent="0.25">
      <c r="A14" s="35" t="s">
        <v>16</v>
      </c>
      <c r="B14" s="7">
        <v>124</v>
      </c>
      <c r="C14" s="7">
        <v>12</v>
      </c>
      <c r="D14" s="8">
        <v>3.0784508440913606E-2</v>
      </c>
      <c r="E14" s="7">
        <v>122</v>
      </c>
      <c r="F14" s="7">
        <v>9</v>
      </c>
      <c r="G14" s="9">
        <f t="shared" si="0"/>
        <v>3.3071293033342372E-2</v>
      </c>
      <c r="H14" s="7">
        <v>79</v>
      </c>
      <c r="I14" s="7">
        <v>16</v>
      </c>
      <c r="J14" s="36">
        <v>2.253280091272105E-2</v>
      </c>
    </row>
    <row r="15" spans="1:10" x14ac:dyDescent="0.25">
      <c r="A15" s="35" t="s">
        <v>17</v>
      </c>
      <c r="B15" s="7">
        <v>22</v>
      </c>
      <c r="C15" s="7">
        <v>47</v>
      </c>
      <c r="D15" s="8">
        <v>5.4617676266137038E-3</v>
      </c>
      <c r="E15" s="7">
        <v>36</v>
      </c>
      <c r="F15" s="7">
        <v>35</v>
      </c>
      <c r="G15" s="9">
        <f t="shared" si="0"/>
        <v>9.7587422065600442E-3</v>
      </c>
      <c r="H15" s="7">
        <v>38</v>
      </c>
      <c r="I15" s="7">
        <v>32</v>
      </c>
      <c r="J15" s="36">
        <v>1.0838562464346835E-2</v>
      </c>
    </row>
    <row r="16" spans="1:10" x14ac:dyDescent="0.25">
      <c r="A16" s="35" t="s">
        <v>18</v>
      </c>
      <c r="B16" s="7">
        <v>47</v>
      </c>
      <c r="C16" s="7">
        <v>28</v>
      </c>
      <c r="D16" s="8">
        <v>1.166832174776564E-2</v>
      </c>
      <c r="E16" s="7">
        <v>48</v>
      </c>
      <c r="F16" s="7">
        <v>26</v>
      </c>
      <c r="G16" s="9">
        <f t="shared" si="0"/>
        <v>1.3011656275413392E-2</v>
      </c>
      <c r="H16" s="7">
        <v>48</v>
      </c>
      <c r="I16" s="7">
        <v>27</v>
      </c>
      <c r="J16" s="36">
        <v>1.3690815744438107E-2</v>
      </c>
    </row>
    <row r="17" spans="1:10" x14ac:dyDescent="0.25">
      <c r="A17" s="35" t="s">
        <v>19</v>
      </c>
      <c r="B17" s="7">
        <v>133</v>
      </c>
      <c r="C17" s="7">
        <v>8</v>
      </c>
      <c r="D17" s="8">
        <v>3.3018867924528301E-2</v>
      </c>
      <c r="E17" s="7">
        <v>115</v>
      </c>
      <c r="F17" s="7">
        <v>11</v>
      </c>
      <c r="G17" s="9">
        <f t="shared" si="0"/>
        <v>3.1173759826511251E-2</v>
      </c>
      <c r="H17" s="7">
        <v>118</v>
      </c>
      <c r="I17" s="7">
        <v>7</v>
      </c>
      <c r="J17" s="36">
        <v>3.3656588705077012E-2</v>
      </c>
    </row>
    <row r="18" spans="1:10" x14ac:dyDescent="0.25">
      <c r="A18" s="37" t="s">
        <v>20</v>
      </c>
      <c r="B18" s="7">
        <v>2</v>
      </c>
      <c r="C18" s="10"/>
      <c r="D18" s="10"/>
      <c r="E18" s="7">
        <v>37</v>
      </c>
      <c r="F18" s="10"/>
      <c r="G18" s="10"/>
      <c r="H18" s="7">
        <v>17</v>
      </c>
      <c r="I18" s="10"/>
      <c r="J18" s="38"/>
    </row>
    <row r="19" spans="1:10" x14ac:dyDescent="0.25">
      <c r="A19" s="39" t="s">
        <v>21</v>
      </c>
      <c r="B19" s="11">
        <v>1179</v>
      </c>
      <c r="C19" s="12"/>
      <c r="D19" s="12"/>
      <c r="E19" s="11">
        <v>1215</v>
      </c>
      <c r="F19" s="12"/>
      <c r="G19" s="12"/>
      <c r="H19" s="11">
        <v>1002</v>
      </c>
      <c r="I19" s="12"/>
      <c r="J19" s="40"/>
    </row>
    <row r="20" spans="1:10" x14ac:dyDescent="0.25">
      <c r="A20" s="33" t="s">
        <v>2</v>
      </c>
      <c r="B20" s="6"/>
      <c r="C20" s="6"/>
      <c r="D20" s="6"/>
      <c r="E20" s="6"/>
      <c r="F20" s="6"/>
      <c r="G20" s="6"/>
      <c r="H20" s="6"/>
      <c r="I20" s="6"/>
      <c r="J20" s="34"/>
    </row>
    <row r="21" spans="1:10" x14ac:dyDescent="0.25">
      <c r="A21" s="35" t="s">
        <v>22</v>
      </c>
      <c r="B21" s="7">
        <v>44</v>
      </c>
      <c r="C21" s="7">
        <v>32</v>
      </c>
      <c r="D21" s="13">
        <v>1.0923535253227408E-2</v>
      </c>
      <c r="E21" s="7">
        <v>36</v>
      </c>
      <c r="F21" s="7">
        <v>36</v>
      </c>
      <c r="G21" s="9">
        <f t="shared" ref="G21:G38" si="1">(E21/$E$81)</f>
        <v>9.7587422065600442E-3</v>
      </c>
      <c r="H21" s="7">
        <v>32</v>
      </c>
      <c r="I21" s="7">
        <v>37</v>
      </c>
      <c r="J21" s="36">
        <v>9.1272104962920701E-3</v>
      </c>
    </row>
    <row r="22" spans="1:10" x14ac:dyDescent="0.25">
      <c r="A22" s="35" t="s">
        <v>23</v>
      </c>
      <c r="B22" s="7">
        <v>28</v>
      </c>
      <c r="C22" s="7">
        <v>42</v>
      </c>
      <c r="D22" s="13">
        <v>6.9513406156901684E-3</v>
      </c>
      <c r="E22" s="7">
        <v>44</v>
      </c>
      <c r="F22" s="7">
        <v>29</v>
      </c>
      <c r="G22" s="9">
        <f t="shared" si="1"/>
        <v>1.1927351585795609E-2</v>
      </c>
      <c r="H22" s="7">
        <v>21</v>
      </c>
      <c r="I22" s="7">
        <v>45</v>
      </c>
      <c r="J22" s="36">
        <v>5.9897318881916711E-3</v>
      </c>
    </row>
    <row r="23" spans="1:10" x14ac:dyDescent="0.25">
      <c r="A23" s="35" t="s">
        <v>24</v>
      </c>
      <c r="B23" s="7">
        <v>164</v>
      </c>
      <c r="C23" s="7">
        <v>6</v>
      </c>
      <c r="D23" s="13">
        <v>4.0714995034756701E-2</v>
      </c>
      <c r="E23" s="7">
        <v>115</v>
      </c>
      <c r="F23" s="7">
        <v>12</v>
      </c>
      <c r="G23" s="9">
        <f t="shared" si="1"/>
        <v>3.1173759826511251E-2</v>
      </c>
      <c r="H23" s="7">
        <v>104</v>
      </c>
      <c r="I23" s="7">
        <v>9</v>
      </c>
      <c r="J23" s="36">
        <v>2.9663434112949229E-2</v>
      </c>
    </row>
    <row r="24" spans="1:10" x14ac:dyDescent="0.25">
      <c r="A24" s="35" t="s">
        <v>25</v>
      </c>
      <c r="B24" s="7">
        <v>81</v>
      </c>
      <c r="C24" s="7">
        <v>18</v>
      </c>
      <c r="D24" s="13">
        <v>2.0109235352532274E-2</v>
      </c>
      <c r="E24" s="7">
        <v>68</v>
      </c>
      <c r="F24" s="7">
        <v>19</v>
      </c>
      <c r="G24" s="9">
        <f t="shared" si="1"/>
        <v>1.8433179723502304E-2</v>
      </c>
      <c r="H24" s="7">
        <v>46</v>
      </c>
      <c r="I24" s="7">
        <v>29</v>
      </c>
      <c r="J24" s="36">
        <v>1.3120365088419851E-2</v>
      </c>
    </row>
    <row r="25" spans="1:10" x14ac:dyDescent="0.25">
      <c r="A25" s="35" t="s">
        <v>26</v>
      </c>
      <c r="B25" s="7">
        <v>221</v>
      </c>
      <c r="C25" s="7">
        <v>1</v>
      </c>
      <c r="D25" s="13">
        <v>5.486593843098312E-2</v>
      </c>
      <c r="E25" s="7">
        <v>144</v>
      </c>
      <c r="F25" s="7">
        <v>5</v>
      </c>
      <c r="G25" s="9">
        <f t="shared" si="1"/>
        <v>3.9034968826240177E-2</v>
      </c>
      <c r="H25" s="7">
        <v>162</v>
      </c>
      <c r="I25" s="7">
        <v>3</v>
      </c>
      <c r="J25" s="36">
        <v>4.6206503137478608E-2</v>
      </c>
    </row>
    <row r="26" spans="1:10" x14ac:dyDescent="0.25">
      <c r="A26" s="35" t="s">
        <v>27</v>
      </c>
      <c r="B26" s="7">
        <v>14</v>
      </c>
      <c r="C26" s="7">
        <v>51</v>
      </c>
      <c r="D26" s="13">
        <v>3.4756703078450842E-3</v>
      </c>
      <c r="E26" s="7">
        <v>21</v>
      </c>
      <c r="F26" s="7">
        <v>44</v>
      </c>
      <c r="G26" s="9">
        <f t="shared" si="1"/>
        <v>5.6925996204933585E-3</v>
      </c>
      <c r="H26" s="7">
        <v>22</v>
      </c>
      <c r="I26" s="7">
        <v>43</v>
      </c>
      <c r="J26" s="36">
        <v>6.2749572162007989E-3</v>
      </c>
    </row>
    <row r="27" spans="1:10" x14ac:dyDescent="0.25">
      <c r="A27" s="35" t="s">
        <v>28</v>
      </c>
      <c r="B27" s="7">
        <v>33</v>
      </c>
      <c r="C27" s="7">
        <v>38</v>
      </c>
      <c r="D27" s="13">
        <v>8.1926514399205553E-3</v>
      </c>
      <c r="E27" s="7">
        <v>4</v>
      </c>
      <c r="F27" s="7">
        <v>56</v>
      </c>
      <c r="G27" s="9">
        <f t="shared" si="1"/>
        <v>1.0843046896177825E-3</v>
      </c>
      <c r="H27" s="7">
        <v>25</v>
      </c>
      <c r="I27" s="7">
        <v>41</v>
      </c>
      <c r="J27" s="36">
        <v>7.1306332002281803E-3</v>
      </c>
    </row>
    <row r="28" spans="1:10" x14ac:dyDescent="0.25">
      <c r="A28" s="35" t="s">
        <v>29</v>
      </c>
      <c r="B28" s="7">
        <v>72</v>
      </c>
      <c r="C28" s="7">
        <v>22</v>
      </c>
      <c r="D28" s="13">
        <v>1.7874875868917579E-2</v>
      </c>
      <c r="E28" s="7">
        <v>46</v>
      </c>
      <c r="F28" s="7">
        <v>28</v>
      </c>
      <c r="G28" s="9">
        <f t="shared" si="1"/>
        <v>1.24695039306045E-2</v>
      </c>
      <c r="H28" s="7">
        <v>65</v>
      </c>
      <c r="I28" s="7">
        <v>21</v>
      </c>
      <c r="J28" s="36">
        <v>1.8539646320593267E-2</v>
      </c>
    </row>
    <row r="29" spans="1:10" x14ac:dyDescent="0.25">
      <c r="A29" s="35" t="s">
        <v>30</v>
      </c>
      <c r="B29" s="7">
        <v>39</v>
      </c>
      <c r="C29" s="7">
        <v>34</v>
      </c>
      <c r="D29" s="13">
        <v>9.6822244289970216E-3</v>
      </c>
      <c r="E29" s="7">
        <v>38</v>
      </c>
      <c r="F29" s="7">
        <v>34</v>
      </c>
      <c r="G29" s="9">
        <f t="shared" si="1"/>
        <v>1.0300894551368935E-2</v>
      </c>
      <c r="H29" s="7">
        <v>30</v>
      </c>
      <c r="I29" s="7">
        <v>38</v>
      </c>
      <c r="J29" s="36">
        <v>8.5567598402738164E-3</v>
      </c>
    </row>
    <row r="30" spans="1:10" x14ac:dyDescent="0.25">
      <c r="A30" s="35" t="s">
        <v>31</v>
      </c>
      <c r="B30" s="7">
        <v>8</v>
      </c>
      <c r="C30" s="7">
        <v>53</v>
      </c>
      <c r="D30" s="13">
        <v>1.9860973187686196E-3</v>
      </c>
      <c r="E30" s="7">
        <v>12</v>
      </c>
      <c r="F30" s="7">
        <v>51</v>
      </c>
      <c r="G30" s="9">
        <f t="shared" si="1"/>
        <v>3.2529140688533479E-3</v>
      </c>
      <c r="H30" s="7">
        <v>16</v>
      </c>
      <c r="I30" s="7">
        <v>49</v>
      </c>
      <c r="J30" s="36">
        <v>4.5636052481460351E-3</v>
      </c>
    </row>
    <row r="31" spans="1:10" x14ac:dyDescent="0.25">
      <c r="A31" s="35" t="s">
        <v>32</v>
      </c>
      <c r="B31" s="7">
        <v>23</v>
      </c>
      <c r="C31" s="7">
        <v>44</v>
      </c>
      <c r="D31" s="13">
        <v>5.7100297914597815E-3</v>
      </c>
      <c r="E31" s="7">
        <v>21</v>
      </c>
      <c r="F31" s="7">
        <v>45</v>
      </c>
      <c r="G31" s="9">
        <f t="shared" si="1"/>
        <v>5.6925996204933585E-3</v>
      </c>
      <c r="H31" s="7">
        <v>18</v>
      </c>
      <c r="I31" s="7">
        <v>47</v>
      </c>
      <c r="J31" s="36">
        <v>5.1340559041642897E-3</v>
      </c>
    </row>
    <row r="32" spans="1:10" x14ac:dyDescent="0.25">
      <c r="A32" s="35" t="s">
        <v>33</v>
      </c>
      <c r="B32" s="7">
        <v>22</v>
      </c>
      <c r="C32" s="7">
        <v>48</v>
      </c>
      <c r="D32" s="13">
        <v>5.4617676266137038E-3</v>
      </c>
      <c r="E32" s="7">
        <v>6</v>
      </c>
      <c r="F32" s="7">
        <v>54</v>
      </c>
      <c r="G32" s="9">
        <f t="shared" si="1"/>
        <v>1.626457034426674E-3</v>
      </c>
      <c r="H32" s="7">
        <v>15</v>
      </c>
      <c r="I32" s="7">
        <v>50</v>
      </c>
      <c r="J32" s="36">
        <v>4.2783799201369082E-3</v>
      </c>
    </row>
    <row r="33" spans="1:10" x14ac:dyDescent="0.25">
      <c r="A33" s="35" t="s">
        <v>34</v>
      </c>
      <c r="B33" s="7">
        <v>38</v>
      </c>
      <c r="C33" s="7">
        <v>35</v>
      </c>
      <c r="D33" s="13">
        <v>9.433962264150943E-3</v>
      </c>
      <c r="E33" s="7">
        <v>22</v>
      </c>
      <c r="F33" s="7">
        <v>41</v>
      </c>
      <c r="G33" s="9">
        <f t="shared" si="1"/>
        <v>5.9636757928978046E-3</v>
      </c>
      <c r="H33" s="7">
        <v>47</v>
      </c>
      <c r="I33" s="7">
        <v>28</v>
      </c>
      <c r="J33" s="36">
        <v>1.3405590416428978E-2</v>
      </c>
    </row>
    <row r="34" spans="1:10" x14ac:dyDescent="0.25">
      <c r="A34" s="35" t="s">
        <v>66</v>
      </c>
      <c r="B34" s="7">
        <v>42</v>
      </c>
      <c r="C34" s="7">
        <v>33</v>
      </c>
      <c r="D34" s="13">
        <v>1.0427010923535254E-2</v>
      </c>
      <c r="E34" s="7">
        <v>41</v>
      </c>
      <c r="F34" s="7">
        <v>31</v>
      </c>
      <c r="G34" s="9">
        <f t="shared" si="1"/>
        <v>1.1114123068582272E-2</v>
      </c>
      <c r="H34" s="7">
        <v>45</v>
      </c>
      <c r="I34" s="7">
        <v>30</v>
      </c>
      <c r="J34" s="36">
        <v>1.2835139760410725E-2</v>
      </c>
    </row>
    <row r="35" spans="1:10" x14ac:dyDescent="0.25">
      <c r="A35" s="35" t="s">
        <v>35</v>
      </c>
      <c r="B35" s="7">
        <v>17</v>
      </c>
      <c r="C35" s="7">
        <v>50</v>
      </c>
      <c r="D35" s="13">
        <v>4.2204568023833169E-3</v>
      </c>
      <c r="E35" s="7">
        <v>19</v>
      </c>
      <c r="F35" s="7">
        <v>47</v>
      </c>
      <c r="G35" s="9">
        <f t="shared" si="1"/>
        <v>5.1504472756844673E-3</v>
      </c>
      <c r="H35" s="7">
        <v>28</v>
      </c>
      <c r="I35" s="7">
        <v>39</v>
      </c>
      <c r="J35" s="36">
        <v>7.9863091842555627E-3</v>
      </c>
    </row>
    <row r="36" spans="1:10" x14ac:dyDescent="0.25">
      <c r="A36" s="35" t="s">
        <v>36</v>
      </c>
      <c r="B36" s="7">
        <v>212</v>
      </c>
      <c r="C36" s="7">
        <v>3</v>
      </c>
      <c r="D36" s="13">
        <v>5.2631578947368418E-2</v>
      </c>
      <c r="E36" s="7">
        <v>160</v>
      </c>
      <c r="F36" s="7">
        <v>3</v>
      </c>
      <c r="G36" s="9">
        <f t="shared" si="1"/>
        <v>4.3372187584711307E-2</v>
      </c>
      <c r="H36" s="7">
        <v>169</v>
      </c>
      <c r="I36" s="7">
        <v>2</v>
      </c>
      <c r="J36" s="36">
        <v>4.8203080433542496E-2</v>
      </c>
    </row>
    <row r="37" spans="1:10" x14ac:dyDescent="0.25">
      <c r="A37" s="35" t="s">
        <v>37</v>
      </c>
      <c r="B37" s="7">
        <v>85</v>
      </c>
      <c r="C37" s="7">
        <v>17</v>
      </c>
      <c r="D37" s="13">
        <v>2.1102284011916585E-2</v>
      </c>
      <c r="E37" s="7">
        <v>60</v>
      </c>
      <c r="F37" s="7">
        <v>22</v>
      </c>
      <c r="G37" s="9">
        <f t="shared" si="1"/>
        <v>1.6264570344266739E-2</v>
      </c>
      <c r="H37" s="7">
        <v>86</v>
      </c>
      <c r="I37" s="7">
        <v>15</v>
      </c>
      <c r="J37" s="36">
        <v>2.4529378208784942E-2</v>
      </c>
    </row>
    <row r="38" spans="1:10" x14ac:dyDescent="0.25">
      <c r="A38" s="35" t="s">
        <v>38</v>
      </c>
      <c r="B38" s="7">
        <v>61</v>
      </c>
      <c r="C38" s="7">
        <v>24</v>
      </c>
      <c r="D38" s="13">
        <v>1.5143992055610725E-2</v>
      </c>
      <c r="E38" s="7">
        <v>55</v>
      </c>
      <c r="F38" s="7">
        <v>24</v>
      </c>
      <c r="G38" s="9">
        <f t="shared" si="1"/>
        <v>1.4909189482244511E-2</v>
      </c>
      <c r="H38" s="7">
        <v>54</v>
      </c>
      <c r="I38" s="7">
        <v>24</v>
      </c>
      <c r="J38" s="36">
        <v>1.540216771249287E-2</v>
      </c>
    </row>
    <row r="39" spans="1:10" x14ac:dyDescent="0.25">
      <c r="A39" s="37" t="s">
        <v>20</v>
      </c>
      <c r="B39" s="7">
        <v>18</v>
      </c>
      <c r="C39" s="10"/>
      <c r="D39" s="10"/>
      <c r="E39" s="7">
        <v>22</v>
      </c>
      <c r="F39" s="10"/>
      <c r="G39" s="9"/>
      <c r="H39" s="7">
        <v>30</v>
      </c>
      <c r="I39" s="10"/>
      <c r="J39" s="36"/>
    </row>
    <row r="40" spans="1:10" x14ac:dyDescent="0.25">
      <c r="A40" s="39" t="s">
        <v>39</v>
      </c>
      <c r="B40" s="11">
        <v>1222</v>
      </c>
      <c r="C40" s="12"/>
      <c r="D40" s="12"/>
      <c r="E40" s="11">
        <v>934</v>
      </c>
      <c r="F40" s="12"/>
      <c r="G40" s="14"/>
      <c r="H40" s="11">
        <v>1015</v>
      </c>
      <c r="I40" s="12"/>
      <c r="J40" s="41"/>
    </row>
    <row r="41" spans="1:10" x14ac:dyDescent="0.25">
      <c r="A41" s="33" t="s">
        <v>4</v>
      </c>
      <c r="B41" s="6"/>
      <c r="C41" s="6"/>
      <c r="D41" s="6"/>
      <c r="E41" s="6"/>
      <c r="F41" s="6"/>
      <c r="G41" s="9"/>
      <c r="H41" s="6"/>
      <c r="I41" s="6"/>
      <c r="J41" s="36"/>
    </row>
    <row r="42" spans="1:10" x14ac:dyDescent="0.25">
      <c r="A42" s="35" t="s">
        <v>132</v>
      </c>
      <c r="B42" s="7">
        <v>2</v>
      </c>
      <c r="C42" s="7">
        <v>58</v>
      </c>
      <c r="D42" s="13">
        <v>4.965243296921549E-4</v>
      </c>
      <c r="E42" s="7">
        <v>3</v>
      </c>
      <c r="F42" s="7">
        <v>57</v>
      </c>
      <c r="G42" s="9">
        <f t="shared" ref="G42:G53" si="2">(E42/$E$81)</f>
        <v>8.1322851721333698E-4</v>
      </c>
      <c r="H42" s="7">
        <v>3</v>
      </c>
      <c r="I42" s="7">
        <v>57</v>
      </c>
      <c r="J42" s="36">
        <v>8.5567598402738168E-4</v>
      </c>
    </row>
    <row r="43" spans="1:10" x14ac:dyDescent="0.25">
      <c r="A43" s="35" t="s">
        <v>133</v>
      </c>
      <c r="B43" s="7">
        <v>3</v>
      </c>
      <c r="C43" s="7">
        <v>57</v>
      </c>
      <c r="D43" s="13">
        <v>7.4478649453823241E-4</v>
      </c>
      <c r="E43" s="7">
        <v>1</v>
      </c>
      <c r="F43" s="7">
        <v>59</v>
      </c>
      <c r="G43" s="9">
        <f t="shared" si="2"/>
        <v>2.7107617240444562E-4</v>
      </c>
      <c r="H43" s="7">
        <v>2</v>
      </c>
      <c r="I43" s="7">
        <v>58</v>
      </c>
      <c r="J43" s="36">
        <v>5.7045065601825438E-4</v>
      </c>
    </row>
    <row r="44" spans="1:10" x14ac:dyDescent="0.25">
      <c r="A44" s="35" t="s">
        <v>134</v>
      </c>
      <c r="B44" s="7">
        <v>75</v>
      </c>
      <c r="C44" s="7">
        <v>20</v>
      </c>
      <c r="D44" s="13">
        <v>1.8619662363455809E-2</v>
      </c>
      <c r="E44" s="7">
        <v>68</v>
      </c>
      <c r="F44" s="7">
        <v>20</v>
      </c>
      <c r="G44" s="9">
        <f t="shared" si="2"/>
        <v>1.8433179723502304E-2</v>
      </c>
      <c r="H44" s="7">
        <v>69</v>
      </c>
      <c r="I44" s="7">
        <v>20</v>
      </c>
      <c r="J44" s="36">
        <v>1.9680547632629778E-2</v>
      </c>
    </row>
    <row r="45" spans="1:10" x14ac:dyDescent="0.25">
      <c r="A45" s="35" t="s">
        <v>135</v>
      </c>
      <c r="B45" s="7">
        <v>36</v>
      </c>
      <c r="C45" s="7">
        <v>37</v>
      </c>
      <c r="D45" s="13">
        <v>8.9374379344587893E-3</v>
      </c>
      <c r="E45" s="7">
        <v>21</v>
      </c>
      <c r="F45" s="7">
        <v>46</v>
      </c>
      <c r="G45" s="9">
        <f t="shared" si="2"/>
        <v>5.6925996204933585E-3</v>
      </c>
      <c r="H45" s="7">
        <v>19</v>
      </c>
      <c r="I45" s="7">
        <v>46</v>
      </c>
      <c r="J45" s="36">
        <v>5.4192812321734174E-3</v>
      </c>
    </row>
    <row r="46" spans="1:10" x14ac:dyDescent="0.25">
      <c r="A46" s="35" t="s">
        <v>136</v>
      </c>
      <c r="B46" s="7">
        <v>17</v>
      </c>
      <c r="C46" s="7">
        <v>49</v>
      </c>
      <c r="D46" s="13">
        <v>4.2204568023833169E-3</v>
      </c>
      <c r="E46" s="7">
        <v>22</v>
      </c>
      <c r="F46" s="7">
        <v>42</v>
      </c>
      <c r="G46" s="9">
        <f t="shared" si="2"/>
        <v>5.9636757928978046E-3</v>
      </c>
      <c r="H46" s="7">
        <v>18</v>
      </c>
      <c r="I46" s="7">
        <v>47</v>
      </c>
      <c r="J46" s="36">
        <v>5.1340559041642897E-3</v>
      </c>
    </row>
    <row r="47" spans="1:10" x14ac:dyDescent="0.25">
      <c r="A47" s="35" t="s">
        <v>137</v>
      </c>
      <c r="B47" s="7">
        <v>2</v>
      </c>
      <c r="C47" s="7">
        <v>59</v>
      </c>
      <c r="D47" s="13">
        <v>4.965243296921549E-4</v>
      </c>
      <c r="E47" s="7">
        <v>7</v>
      </c>
      <c r="F47" s="7">
        <v>53</v>
      </c>
      <c r="G47" s="9">
        <f t="shared" si="2"/>
        <v>1.8975332068311196E-3</v>
      </c>
      <c r="H47" s="7">
        <v>1</v>
      </c>
      <c r="I47" s="7">
        <v>59</v>
      </c>
      <c r="J47" s="36">
        <v>2.8522532800912719E-4</v>
      </c>
    </row>
    <row r="48" spans="1:10" x14ac:dyDescent="0.25">
      <c r="A48" s="35" t="s">
        <v>138</v>
      </c>
      <c r="B48" s="7">
        <v>51</v>
      </c>
      <c r="C48" s="7">
        <v>26</v>
      </c>
      <c r="D48" s="13">
        <v>1.2661370407149951E-2</v>
      </c>
      <c r="E48" s="7">
        <v>31</v>
      </c>
      <c r="F48" s="7">
        <v>38</v>
      </c>
      <c r="G48" s="9">
        <f t="shared" si="2"/>
        <v>8.4033613445378148E-3</v>
      </c>
      <c r="H48" s="7">
        <v>49</v>
      </c>
      <c r="I48" s="7">
        <v>26</v>
      </c>
      <c r="J48" s="36">
        <v>1.3976041072447234E-2</v>
      </c>
    </row>
    <row r="49" spans="1:10" x14ac:dyDescent="0.25">
      <c r="A49" s="35" t="s">
        <v>139</v>
      </c>
      <c r="B49" s="7">
        <v>5</v>
      </c>
      <c r="C49" s="7">
        <v>55</v>
      </c>
      <c r="D49" s="13">
        <v>1.2413108242303873E-3</v>
      </c>
      <c r="E49" s="7">
        <v>9</v>
      </c>
      <c r="F49" s="7">
        <v>52</v>
      </c>
      <c r="G49" s="9">
        <f t="shared" si="2"/>
        <v>2.439685551640011E-3</v>
      </c>
      <c r="H49" s="7">
        <v>8</v>
      </c>
      <c r="I49" s="7">
        <v>55</v>
      </c>
      <c r="J49" s="36">
        <v>2.2818026240730175E-3</v>
      </c>
    </row>
    <row r="50" spans="1:10" x14ac:dyDescent="0.25">
      <c r="A50" s="35" t="s">
        <v>140</v>
      </c>
      <c r="B50" s="7">
        <v>70</v>
      </c>
      <c r="C50" s="7">
        <v>23</v>
      </c>
      <c r="D50" s="13">
        <v>1.7378351539225421E-2</v>
      </c>
      <c r="E50" s="7">
        <v>59</v>
      </c>
      <c r="F50" s="7">
        <v>23</v>
      </c>
      <c r="G50" s="9">
        <f t="shared" si="2"/>
        <v>1.5993494171862292E-2</v>
      </c>
      <c r="H50" s="7">
        <v>50</v>
      </c>
      <c r="I50" s="7">
        <v>25</v>
      </c>
      <c r="J50" s="36">
        <v>1.4261266400456361E-2</v>
      </c>
    </row>
    <row r="51" spans="1:10" x14ac:dyDescent="0.25">
      <c r="A51" s="35" t="s">
        <v>40</v>
      </c>
      <c r="B51" s="7">
        <v>124</v>
      </c>
      <c r="C51" s="7">
        <v>11</v>
      </c>
      <c r="D51" s="13">
        <v>3.0784508440913606E-2</v>
      </c>
      <c r="E51" s="7">
        <v>91</v>
      </c>
      <c r="F51" s="7">
        <v>15</v>
      </c>
      <c r="G51" s="9">
        <f t="shared" si="2"/>
        <v>2.4667931688804556E-2</v>
      </c>
      <c r="H51" s="7">
        <v>95</v>
      </c>
      <c r="I51" s="7">
        <v>12</v>
      </c>
      <c r="J51" s="36">
        <v>2.7096406160867084E-2</v>
      </c>
    </row>
    <row r="52" spans="1:10" x14ac:dyDescent="0.25">
      <c r="A52" s="35" t="s">
        <v>41</v>
      </c>
      <c r="B52" s="7">
        <v>132</v>
      </c>
      <c r="C52" s="7">
        <v>9</v>
      </c>
      <c r="D52" s="13">
        <v>3.2770605759682221E-2</v>
      </c>
      <c r="E52" s="7">
        <v>119</v>
      </c>
      <c r="F52" s="7">
        <v>10</v>
      </c>
      <c r="G52" s="9">
        <f t="shared" si="2"/>
        <v>3.2258064516129031E-2</v>
      </c>
      <c r="H52" s="7">
        <v>143</v>
      </c>
      <c r="I52" s="7">
        <v>5</v>
      </c>
      <c r="J52" s="36">
        <v>4.078722190530519E-2</v>
      </c>
    </row>
    <row r="53" spans="1:10" x14ac:dyDescent="0.25">
      <c r="A53" s="35" t="s">
        <v>42</v>
      </c>
      <c r="B53" s="7">
        <v>49</v>
      </c>
      <c r="C53" s="7">
        <v>27</v>
      </c>
      <c r="D53" s="13">
        <v>1.2164846077457795E-2</v>
      </c>
      <c r="E53" s="7">
        <v>48</v>
      </c>
      <c r="F53" s="7">
        <v>27</v>
      </c>
      <c r="G53" s="9">
        <f t="shared" si="2"/>
        <v>1.3011656275413392E-2</v>
      </c>
      <c r="H53" s="7">
        <v>42</v>
      </c>
      <c r="I53" s="7">
        <v>31</v>
      </c>
      <c r="J53" s="36">
        <v>1.1979463776383342E-2</v>
      </c>
    </row>
    <row r="54" spans="1:10" x14ac:dyDescent="0.25">
      <c r="A54" s="37" t="s">
        <v>20</v>
      </c>
      <c r="B54" s="7">
        <v>12</v>
      </c>
      <c r="C54" s="10"/>
      <c r="D54" s="10"/>
      <c r="E54" s="7">
        <v>22</v>
      </c>
      <c r="F54" s="10"/>
      <c r="G54" s="9"/>
      <c r="H54" s="7">
        <v>8</v>
      </c>
      <c r="I54" s="10"/>
      <c r="J54" s="36"/>
    </row>
    <row r="55" spans="1:10" x14ac:dyDescent="0.25">
      <c r="A55" s="39" t="s">
        <v>43</v>
      </c>
      <c r="B55" s="15">
        <v>578</v>
      </c>
      <c r="C55" s="16"/>
      <c r="D55" s="16"/>
      <c r="E55" s="15">
        <v>501</v>
      </c>
      <c r="F55" s="16"/>
      <c r="G55" s="14"/>
      <c r="H55" s="15">
        <v>507</v>
      </c>
      <c r="I55" s="16"/>
      <c r="J55" s="41"/>
    </row>
    <row r="56" spans="1:10" x14ac:dyDescent="0.25">
      <c r="A56" s="33" t="s">
        <v>1</v>
      </c>
      <c r="B56" s="6"/>
      <c r="C56" s="6"/>
      <c r="D56" s="6"/>
      <c r="E56" s="6"/>
      <c r="F56" s="6"/>
      <c r="G56" s="9"/>
      <c r="H56" s="6"/>
      <c r="I56" s="6"/>
      <c r="J56" s="36"/>
    </row>
    <row r="57" spans="1:10" x14ac:dyDescent="0.25">
      <c r="A57" s="35" t="s">
        <v>44</v>
      </c>
      <c r="B57" s="7">
        <v>46</v>
      </c>
      <c r="C57" s="7">
        <v>29</v>
      </c>
      <c r="D57" s="13">
        <v>1.1420059582919563E-2</v>
      </c>
      <c r="E57" s="7">
        <v>64</v>
      </c>
      <c r="F57" s="7">
        <v>21</v>
      </c>
      <c r="G57" s="9">
        <f t="shared" ref="G57:G70" si="3">(E57/$E$81)</f>
        <v>1.734887503388452E-2</v>
      </c>
      <c r="H57" s="7">
        <v>59</v>
      </c>
      <c r="I57" s="7">
        <v>23</v>
      </c>
      <c r="J57" s="36">
        <v>1.6828294352538506E-2</v>
      </c>
    </row>
    <row r="58" spans="1:10" x14ac:dyDescent="0.25">
      <c r="A58" s="35" t="s">
        <v>45</v>
      </c>
      <c r="B58" s="7">
        <v>13</v>
      </c>
      <c r="C58" s="7">
        <v>52</v>
      </c>
      <c r="D58" s="13">
        <v>3.2274081429990069E-3</v>
      </c>
      <c r="E58" s="7">
        <v>13</v>
      </c>
      <c r="F58" s="7">
        <v>50</v>
      </c>
      <c r="G58" s="9">
        <f t="shared" si="3"/>
        <v>3.5239902412577935E-3</v>
      </c>
      <c r="H58" s="7">
        <v>15</v>
      </c>
      <c r="I58" s="7">
        <v>50</v>
      </c>
      <c r="J58" s="36">
        <v>4.2783799201369082E-3</v>
      </c>
    </row>
    <row r="59" spans="1:10" x14ac:dyDescent="0.25">
      <c r="A59" s="35" t="s">
        <v>46</v>
      </c>
      <c r="B59" s="7">
        <v>38</v>
      </c>
      <c r="C59" s="7">
        <v>36</v>
      </c>
      <c r="D59" s="13">
        <v>9.433962264150943E-3</v>
      </c>
      <c r="E59" s="7">
        <v>54</v>
      </c>
      <c r="F59" s="7">
        <v>25</v>
      </c>
      <c r="G59" s="9">
        <f t="shared" si="3"/>
        <v>1.4638113309840065E-2</v>
      </c>
      <c r="H59" s="7">
        <v>34</v>
      </c>
      <c r="I59" s="7">
        <v>34</v>
      </c>
      <c r="J59" s="36">
        <v>9.6976611523103256E-3</v>
      </c>
    </row>
    <row r="60" spans="1:10" x14ac:dyDescent="0.25">
      <c r="A60" s="35" t="s">
        <v>47</v>
      </c>
      <c r="B60" s="7">
        <v>60</v>
      </c>
      <c r="C60" s="7">
        <v>25</v>
      </c>
      <c r="D60" s="13">
        <v>1.4895729890764648E-2</v>
      </c>
      <c r="E60" s="7">
        <v>44</v>
      </c>
      <c r="F60" s="7">
        <v>30</v>
      </c>
      <c r="G60" s="9">
        <f t="shared" si="3"/>
        <v>1.1927351585795609E-2</v>
      </c>
      <c r="H60" s="7">
        <v>34</v>
      </c>
      <c r="I60" s="7">
        <v>34</v>
      </c>
      <c r="J60" s="36">
        <v>9.6976611523103256E-3</v>
      </c>
    </row>
    <row r="61" spans="1:10" x14ac:dyDescent="0.25">
      <c r="A61" s="35" t="s">
        <v>48</v>
      </c>
      <c r="B61" s="7">
        <v>29</v>
      </c>
      <c r="C61" s="7">
        <v>41</v>
      </c>
      <c r="D61" s="13">
        <v>7.1996027805362461E-3</v>
      </c>
      <c r="E61" s="7">
        <v>17</v>
      </c>
      <c r="F61" s="7">
        <v>48</v>
      </c>
      <c r="G61" s="9">
        <f t="shared" si="3"/>
        <v>4.608294930875576E-3</v>
      </c>
      <c r="H61" s="7">
        <v>22</v>
      </c>
      <c r="I61" s="7">
        <v>43</v>
      </c>
      <c r="J61" s="36">
        <v>6.2749572162007989E-3</v>
      </c>
    </row>
    <row r="62" spans="1:10" x14ac:dyDescent="0.25">
      <c r="A62" s="35" t="s">
        <v>49</v>
      </c>
      <c r="B62" s="7">
        <v>6</v>
      </c>
      <c r="C62" s="7">
        <v>54</v>
      </c>
      <c r="D62" s="13">
        <v>1.4895729890764648E-3</v>
      </c>
      <c r="E62" s="7">
        <v>3</v>
      </c>
      <c r="F62" s="7">
        <v>58</v>
      </c>
      <c r="G62" s="9">
        <f t="shared" si="3"/>
        <v>8.1322851721333698E-4</v>
      </c>
      <c r="H62" s="7">
        <v>10</v>
      </c>
      <c r="I62" s="7">
        <v>54</v>
      </c>
      <c r="J62" s="36">
        <v>2.8522532800912721E-3</v>
      </c>
    </row>
    <row r="63" spans="1:10" x14ac:dyDescent="0.25">
      <c r="A63" s="35" t="s">
        <v>50</v>
      </c>
      <c r="B63" s="7">
        <v>32</v>
      </c>
      <c r="C63" s="7">
        <v>39</v>
      </c>
      <c r="D63" s="13">
        <v>7.9443892750744784E-3</v>
      </c>
      <c r="E63" s="7">
        <v>22</v>
      </c>
      <c r="F63" s="7">
        <v>43</v>
      </c>
      <c r="G63" s="9">
        <f t="shared" si="3"/>
        <v>5.9636757928978046E-3</v>
      </c>
      <c r="H63" s="7">
        <v>24</v>
      </c>
      <c r="I63" s="7">
        <v>42</v>
      </c>
      <c r="J63" s="36">
        <v>6.8454078722190535E-3</v>
      </c>
    </row>
    <row r="64" spans="1:10" x14ac:dyDescent="0.25">
      <c r="A64" s="35" t="s">
        <v>51</v>
      </c>
      <c r="B64" s="7">
        <v>46</v>
      </c>
      <c r="C64" s="7">
        <v>30</v>
      </c>
      <c r="D64" s="13">
        <v>1.1420059582919563E-2</v>
      </c>
      <c r="E64" s="7">
        <v>40</v>
      </c>
      <c r="F64" s="7">
        <v>32</v>
      </c>
      <c r="G64" s="9">
        <f t="shared" si="3"/>
        <v>1.0843046896177827E-2</v>
      </c>
      <c r="H64" s="7">
        <v>27</v>
      </c>
      <c r="I64" s="7">
        <v>40</v>
      </c>
      <c r="J64" s="36">
        <v>7.7010838562464349E-3</v>
      </c>
    </row>
    <row r="65" spans="1:10" x14ac:dyDescent="0.25">
      <c r="A65" s="35" t="s">
        <v>52</v>
      </c>
      <c r="B65" s="7">
        <v>32</v>
      </c>
      <c r="C65" s="7">
        <v>40</v>
      </c>
      <c r="D65" s="13">
        <v>7.9443892750744784E-3</v>
      </c>
      <c r="E65" s="7">
        <v>40</v>
      </c>
      <c r="F65" s="7">
        <v>33</v>
      </c>
      <c r="G65" s="9">
        <f t="shared" si="3"/>
        <v>1.0843046896177827E-2</v>
      </c>
      <c r="H65" s="7">
        <v>36</v>
      </c>
      <c r="I65" s="7">
        <v>33</v>
      </c>
      <c r="J65" s="36">
        <v>1.0268111808328579E-2</v>
      </c>
    </row>
    <row r="66" spans="1:10" x14ac:dyDescent="0.25">
      <c r="A66" s="35" t="s">
        <v>53</v>
      </c>
      <c r="B66" s="7">
        <v>46</v>
      </c>
      <c r="C66" s="7">
        <v>31</v>
      </c>
      <c r="D66" s="13">
        <v>1.1420059582919563E-2</v>
      </c>
      <c r="E66" s="7">
        <v>25</v>
      </c>
      <c r="F66" s="7">
        <v>40</v>
      </c>
      <c r="G66" s="9">
        <f t="shared" si="3"/>
        <v>6.776904310111141E-3</v>
      </c>
      <c r="H66" s="7">
        <v>12</v>
      </c>
      <c r="I66" s="7">
        <v>53</v>
      </c>
      <c r="J66" s="36">
        <v>3.4227039361095267E-3</v>
      </c>
    </row>
    <row r="67" spans="1:10" x14ac:dyDescent="0.25">
      <c r="A67" s="35" t="s">
        <v>54</v>
      </c>
      <c r="B67" s="7">
        <v>4</v>
      </c>
      <c r="C67" s="7">
        <v>56</v>
      </c>
      <c r="D67" s="13">
        <v>9.930486593843098E-4</v>
      </c>
      <c r="E67" s="7">
        <v>6</v>
      </c>
      <c r="F67" s="7">
        <v>55</v>
      </c>
      <c r="G67" s="9">
        <f t="shared" si="3"/>
        <v>1.626457034426674E-3</v>
      </c>
      <c r="H67" s="7">
        <v>8</v>
      </c>
      <c r="I67" s="7">
        <v>55</v>
      </c>
      <c r="J67" s="36">
        <v>2.2818026240730175E-3</v>
      </c>
    </row>
    <row r="68" spans="1:10" x14ac:dyDescent="0.25">
      <c r="A68" s="35" t="s">
        <v>55</v>
      </c>
      <c r="B68" s="7">
        <v>218</v>
      </c>
      <c r="C68" s="7">
        <v>2</v>
      </c>
      <c r="D68" s="13">
        <v>5.4121151936444886E-2</v>
      </c>
      <c r="E68" s="7">
        <v>169</v>
      </c>
      <c r="F68" s="7">
        <v>2</v>
      </c>
      <c r="G68" s="9">
        <f t="shared" si="3"/>
        <v>4.5811873136351315E-2</v>
      </c>
      <c r="H68" s="7">
        <v>145</v>
      </c>
      <c r="I68" s="7">
        <v>4</v>
      </c>
      <c r="J68" s="36">
        <v>4.1357672561323444E-2</v>
      </c>
    </row>
    <row r="69" spans="1:10" x14ac:dyDescent="0.25">
      <c r="A69" s="35" t="s">
        <v>56</v>
      </c>
      <c r="B69" s="7">
        <v>77</v>
      </c>
      <c r="C69" s="7">
        <v>19</v>
      </c>
      <c r="D69" s="13">
        <v>1.9116186693147963E-2</v>
      </c>
      <c r="E69" s="7">
        <v>84</v>
      </c>
      <c r="F69" s="7">
        <v>16</v>
      </c>
      <c r="G69" s="9">
        <f t="shared" si="3"/>
        <v>2.2770398481973434E-2</v>
      </c>
      <c r="H69" s="7">
        <v>79</v>
      </c>
      <c r="I69" s="7">
        <v>16</v>
      </c>
      <c r="J69" s="36">
        <v>2.253280091272105E-2</v>
      </c>
    </row>
    <row r="70" spans="1:10" x14ac:dyDescent="0.25">
      <c r="A70" s="35" t="s">
        <v>57</v>
      </c>
      <c r="B70" s="17">
        <v>109</v>
      </c>
      <c r="C70" s="17">
        <v>14</v>
      </c>
      <c r="D70" s="18">
        <v>2.7060575968222443E-2</v>
      </c>
      <c r="E70" s="7">
        <v>71</v>
      </c>
      <c r="F70" s="17">
        <v>18</v>
      </c>
      <c r="G70" s="9">
        <f t="shared" si="3"/>
        <v>1.9246408240715641E-2</v>
      </c>
      <c r="H70" s="7">
        <v>90</v>
      </c>
      <c r="I70" s="17">
        <v>14</v>
      </c>
      <c r="J70" s="36">
        <v>2.5670279520821449E-2</v>
      </c>
    </row>
    <row r="71" spans="1:10" x14ac:dyDescent="0.25">
      <c r="A71" s="37" t="s">
        <v>58</v>
      </c>
      <c r="B71" s="7">
        <v>8</v>
      </c>
      <c r="C71" s="10"/>
      <c r="D71" s="10"/>
      <c r="E71" s="7">
        <v>5</v>
      </c>
      <c r="F71" s="10"/>
      <c r="G71" s="9"/>
      <c r="H71" s="7">
        <v>9</v>
      </c>
      <c r="I71" s="10"/>
      <c r="J71" s="36"/>
    </row>
    <row r="72" spans="1:10" x14ac:dyDescent="0.25">
      <c r="A72" s="39" t="s">
        <v>59</v>
      </c>
      <c r="B72" s="15">
        <v>764</v>
      </c>
      <c r="C72" s="12"/>
      <c r="D72" s="12"/>
      <c r="E72" s="15">
        <v>657</v>
      </c>
      <c r="F72" s="12"/>
      <c r="G72" s="14"/>
      <c r="H72" s="15">
        <v>604</v>
      </c>
      <c r="I72" s="12"/>
      <c r="J72" s="41"/>
    </row>
    <row r="73" spans="1:10" x14ac:dyDescent="0.25">
      <c r="A73" s="33" t="s">
        <v>3</v>
      </c>
      <c r="B73" s="6"/>
      <c r="C73" s="6"/>
      <c r="D73" s="6"/>
      <c r="E73" s="6"/>
      <c r="F73" s="6"/>
      <c r="G73" s="9"/>
      <c r="H73" s="6"/>
      <c r="I73" s="6"/>
      <c r="J73" s="36"/>
    </row>
    <row r="74" spans="1:10" x14ac:dyDescent="0.25">
      <c r="A74" s="35" t="s">
        <v>67</v>
      </c>
      <c r="B74" s="7">
        <v>175</v>
      </c>
      <c r="C74" s="7">
        <v>5</v>
      </c>
      <c r="D74" s="13">
        <v>4.3445878848063557E-2</v>
      </c>
      <c r="E74" s="7">
        <v>228</v>
      </c>
      <c r="F74" s="7">
        <v>1</v>
      </c>
      <c r="G74" s="9">
        <f>(E74/$E$81)</f>
        <v>6.1805367308213607E-2</v>
      </c>
      <c r="H74" s="7">
        <v>208</v>
      </c>
      <c r="I74" s="7">
        <v>1</v>
      </c>
      <c r="J74" s="36">
        <v>5.9326868225898458E-2</v>
      </c>
    </row>
    <row r="75" spans="1:10" x14ac:dyDescent="0.25">
      <c r="A75" s="35" t="s">
        <v>60</v>
      </c>
      <c r="B75" s="7">
        <v>23</v>
      </c>
      <c r="C75" s="7">
        <v>45</v>
      </c>
      <c r="D75" s="13">
        <v>5.7100297914597815E-3</v>
      </c>
      <c r="E75" s="7">
        <v>34</v>
      </c>
      <c r="F75" s="7">
        <v>37</v>
      </c>
      <c r="G75" s="9">
        <f>(E75/$E$81)</f>
        <v>9.2165898617511521E-3</v>
      </c>
      <c r="H75" s="7">
        <v>60</v>
      </c>
      <c r="I75" s="7">
        <v>22</v>
      </c>
      <c r="J75" s="36">
        <v>1.7113519680547633E-2</v>
      </c>
    </row>
    <row r="76" spans="1:10" x14ac:dyDescent="0.25">
      <c r="A76" s="35" t="s">
        <v>61</v>
      </c>
      <c r="B76" s="7">
        <v>23</v>
      </c>
      <c r="C76" s="7">
        <v>46</v>
      </c>
      <c r="D76" s="13">
        <v>5.7100297914597815E-3</v>
      </c>
      <c r="E76" s="7">
        <v>28</v>
      </c>
      <c r="F76" s="7">
        <v>39</v>
      </c>
      <c r="G76" s="9">
        <f>(E76/$E$81)</f>
        <v>7.5901328273244783E-3</v>
      </c>
      <c r="H76" s="7">
        <v>33</v>
      </c>
      <c r="I76" s="7">
        <v>36</v>
      </c>
      <c r="J76" s="36">
        <v>9.4124358243011987E-3</v>
      </c>
    </row>
    <row r="77" spans="1:10" x14ac:dyDescent="0.25">
      <c r="A77" s="37" t="s">
        <v>20</v>
      </c>
      <c r="B77" s="7">
        <v>3</v>
      </c>
      <c r="C77" s="10"/>
      <c r="D77" s="10"/>
      <c r="E77" s="7">
        <v>5</v>
      </c>
      <c r="F77" s="10"/>
      <c r="G77" s="10"/>
      <c r="H77" s="7">
        <v>1</v>
      </c>
      <c r="I77" s="10"/>
      <c r="J77" s="38"/>
    </row>
    <row r="78" spans="1:10" x14ac:dyDescent="0.25">
      <c r="A78" s="39" t="s">
        <v>62</v>
      </c>
      <c r="B78" s="15">
        <v>224</v>
      </c>
      <c r="C78" s="12"/>
      <c r="D78" s="12"/>
      <c r="E78" s="15">
        <v>295</v>
      </c>
      <c r="F78" s="12"/>
      <c r="G78" s="12"/>
      <c r="H78" s="15">
        <v>302</v>
      </c>
      <c r="I78" s="12"/>
      <c r="J78" s="40"/>
    </row>
    <row r="79" spans="1:10" x14ac:dyDescent="0.25">
      <c r="A79" s="42" t="s">
        <v>63</v>
      </c>
      <c r="B79" s="19">
        <v>32</v>
      </c>
      <c r="C79" s="20"/>
      <c r="D79" s="20"/>
      <c r="E79" s="19">
        <v>58</v>
      </c>
      <c r="F79" s="20"/>
      <c r="G79" s="20"/>
      <c r="H79" s="19">
        <v>58</v>
      </c>
      <c r="I79" s="20"/>
      <c r="J79" s="43"/>
    </row>
    <row r="80" spans="1:10" x14ac:dyDescent="0.25">
      <c r="A80" s="39" t="s">
        <v>64</v>
      </c>
      <c r="B80" s="15">
        <v>29</v>
      </c>
      <c r="C80" s="12"/>
      <c r="D80" s="12"/>
      <c r="E80" s="15">
        <v>29</v>
      </c>
      <c r="F80" s="12"/>
      <c r="G80" s="12"/>
      <c r="H80" s="44">
        <v>18</v>
      </c>
      <c r="I80" s="12"/>
      <c r="J80" s="40"/>
    </row>
    <row r="81" spans="1:10" ht="15.75" thickBot="1" x14ac:dyDescent="0.3">
      <c r="A81" s="45" t="s">
        <v>65</v>
      </c>
      <c r="B81" s="46">
        <v>4028</v>
      </c>
      <c r="C81" s="47"/>
      <c r="D81" s="47"/>
      <c r="E81" s="46">
        <f>E72+E19+E40+E55+E78+E79+E80</f>
        <v>3689</v>
      </c>
      <c r="F81" s="47"/>
      <c r="G81" s="47"/>
      <c r="H81" s="48">
        <v>3506</v>
      </c>
      <c r="I81" s="47"/>
      <c r="J81" s="49"/>
    </row>
    <row r="82" spans="1:10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</row>
    <row r="83" spans="1:10" ht="15" customHeight="1" x14ac:dyDescent="0.25">
      <c r="A83" s="2" t="s">
        <v>144</v>
      </c>
      <c r="B83" s="21"/>
      <c r="C83" s="21"/>
      <c r="D83" s="22"/>
      <c r="E83" s="21"/>
      <c r="F83" s="21"/>
      <c r="G83" s="21"/>
      <c r="H83" s="21"/>
      <c r="I83" s="21"/>
      <c r="J83" s="21"/>
    </row>
    <row r="84" spans="1:10" x14ac:dyDescent="0.25">
      <c r="A84" s="26" t="s">
        <v>69</v>
      </c>
      <c r="B84" s="24"/>
      <c r="C84" s="24"/>
      <c r="E84" s="24"/>
      <c r="F84" s="24"/>
      <c r="G84" s="24"/>
      <c r="H84" s="23"/>
      <c r="I84" s="23"/>
      <c r="J84" s="23"/>
    </row>
    <row r="85" spans="1:10" x14ac:dyDescent="0.25">
      <c r="A85" s="26" t="s">
        <v>141</v>
      </c>
      <c r="B85" s="24"/>
      <c r="C85" s="24"/>
      <c r="E85" s="24"/>
      <c r="F85" s="24"/>
      <c r="G85" s="24"/>
      <c r="H85" s="23"/>
      <c r="I85" s="23"/>
      <c r="J85" s="23"/>
    </row>
    <row r="86" spans="1:10" x14ac:dyDescent="0.25">
      <c r="A86" s="3"/>
    </row>
  </sheetData>
  <mergeCells count="4">
    <mergeCell ref="E3:G3"/>
    <mergeCell ref="H3:J3"/>
    <mergeCell ref="B3:D3"/>
    <mergeCell ref="A1:E1"/>
  </mergeCells>
  <pageMargins left="0.7" right="0.7" top="0.75" bottom="0.75" header="0.3" footer="0.3"/>
  <pageSetup scale="43" orientation="landscape" r:id="rId1"/>
  <headerFooter>
    <oddFooter>Page &amp;P of &amp;N</oddFooter>
  </headerFooter>
  <rowBreaks count="1" manualBreakCount="1">
    <brk id="40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60"/>
  <sheetViews>
    <sheetView topLeftCell="A37" workbookViewId="0">
      <selection activeCell="E58" sqref="E58:E60"/>
    </sheetView>
  </sheetViews>
  <sheetFormatPr defaultRowHeight="15" x14ac:dyDescent="0.25"/>
  <cols>
    <col min="3" max="3" width="29" customWidth="1"/>
    <col min="5" max="5" width="14.85546875" customWidth="1"/>
    <col min="11" max="11" width="19.140625" customWidth="1"/>
  </cols>
  <sheetData>
    <row r="1" spans="3:5" x14ac:dyDescent="0.25">
      <c r="C1" t="s">
        <v>130</v>
      </c>
      <c r="D1" t="s">
        <v>131</v>
      </c>
    </row>
    <row r="2" spans="3:5" x14ac:dyDescent="0.25">
      <c r="C2" t="s">
        <v>83</v>
      </c>
      <c r="D2">
        <v>36</v>
      </c>
      <c r="E2">
        <v>36</v>
      </c>
    </row>
    <row r="3" spans="3:5" x14ac:dyDescent="0.25">
      <c r="C3" t="s">
        <v>84</v>
      </c>
      <c r="D3">
        <v>44</v>
      </c>
      <c r="E3">
        <v>29</v>
      </c>
    </row>
    <row r="4" spans="3:5" x14ac:dyDescent="0.25">
      <c r="C4" t="s">
        <v>85</v>
      </c>
      <c r="D4">
        <v>115</v>
      </c>
      <c r="E4">
        <v>12</v>
      </c>
    </row>
    <row r="5" spans="3:5" x14ac:dyDescent="0.25">
      <c r="C5" t="s">
        <v>86</v>
      </c>
      <c r="D5">
        <v>68</v>
      </c>
      <c r="E5">
        <v>19</v>
      </c>
    </row>
    <row r="6" spans="3:5" x14ac:dyDescent="0.25">
      <c r="C6" t="s">
        <v>87</v>
      </c>
      <c r="D6">
        <v>144</v>
      </c>
      <c r="E6">
        <v>5</v>
      </c>
    </row>
    <row r="7" spans="3:5" x14ac:dyDescent="0.25">
      <c r="C7" t="s">
        <v>88</v>
      </c>
      <c r="D7">
        <v>21</v>
      </c>
      <c r="E7">
        <v>44</v>
      </c>
    </row>
    <row r="8" spans="3:5" x14ac:dyDescent="0.25">
      <c r="C8" t="s">
        <v>89</v>
      </c>
      <c r="D8">
        <v>4</v>
      </c>
      <c r="E8">
        <v>56</v>
      </c>
    </row>
    <row r="9" spans="3:5" x14ac:dyDescent="0.25">
      <c r="C9" t="s">
        <v>90</v>
      </c>
      <c r="D9">
        <v>46</v>
      </c>
      <c r="E9">
        <v>28</v>
      </c>
    </row>
    <row r="10" spans="3:5" x14ac:dyDescent="0.25">
      <c r="C10" t="s">
        <v>91</v>
      </c>
      <c r="D10">
        <v>38</v>
      </c>
      <c r="E10">
        <v>34</v>
      </c>
    </row>
    <row r="11" spans="3:5" x14ac:dyDescent="0.25">
      <c r="C11" t="s">
        <v>92</v>
      </c>
      <c r="D11">
        <v>12</v>
      </c>
      <c r="E11">
        <v>51</v>
      </c>
    </row>
    <row r="12" spans="3:5" x14ac:dyDescent="0.25">
      <c r="C12" t="s">
        <v>93</v>
      </c>
      <c r="D12">
        <v>21</v>
      </c>
      <c r="E12">
        <v>45</v>
      </c>
    </row>
    <row r="13" spans="3:5" x14ac:dyDescent="0.25">
      <c r="C13" t="s">
        <v>94</v>
      </c>
      <c r="D13">
        <v>6</v>
      </c>
      <c r="E13">
        <v>54</v>
      </c>
    </row>
    <row r="14" spans="3:5" x14ac:dyDescent="0.25">
      <c r="C14" t="s">
        <v>95</v>
      </c>
      <c r="D14">
        <v>22</v>
      </c>
      <c r="E14">
        <v>41</v>
      </c>
    </row>
    <row r="15" spans="3:5" x14ac:dyDescent="0.25">
      <c r="C15" t="s">
        <v>96</v>
      </c>
      <c r="D15">
        <v>41</v>
      </c>
      <c r="E15">
        <v>31</v>
      </c>
    </row>
    <row r="16" spans="3:5" x14ac:dyDescent="0.25">
      <c r="C16" t="s">
        <v>97</v>
      </c>
      <c r="D16">
        <v>19</v>
      </c>
      <c r="E16">
        <v>47</v>
      </c>
    </row>
    <row r="17" spans="3:5" x14ac:dyDescent="0.25">
      <c r="C17" t="s">
        <v>98</v>
      </c>
      <c r="D17">
        <v>160</v>
      </c>
      <c r="E17">
        <v>3</v>
      </c>
    </row>
    <row r="18" spans="3:5" x14ac:dyDescent="0.25">
      <c r="C18" t="s">
        <v>99</v>
      </c>
      <c r="D18">
        <v>60</v>
      </c>
      <c r="E18">
        <v>22</v>
      </c>
    </row>
    <row r="19" spans="3:5" x14ac:dyDescent="0.25">
      <c r="C19" t="s">
        <v>100</v>
      </c>
      <c r="D19">
        <v>55</v>
      </c>
      <c r="E19">
        <v>24</v>
      </c>
    </row>
    <row r="20" spans="3:5" x14ac:dyDescent="0.25">
      <c r="C20" t="s">
        <v>71</v>
      </c>
      <c r="D20">
        <v>137</v>
      </c>
      <c r="E20">
        <v>7</v>
      </c>
    </row>
    <row r="21" spans="3:5" x14ac:dyDescent="0.25">
      <c r="C21" t="s">
        <v>72</v>
      </c>
      <c r="D21">
        <v>72</v>
      </c>
      <c r="E21">
        <v>17</v>
      </c>
    </row>
    <row r="22" spans="3:5" x14ac:dyDescent="0.25">
      <c r="C22" t="s">
        <v>73</v>
      </c>
      <c r="D22">
        <v>114</v>
      </c>
      <c r="E22">
        <v>13</v>
      </c>
    </row>
    <row r="23" spans="3:5" x14ac:dyDescent="0.25">
      <c r="C23" t="s">
        <v>74</v>
      </c>
      <c r="D23">
        <v>139</v>
      </c>
      <c r="E23">
        <v>6</v>
      </c>
    </row>
    <row r="24" spans="3:5" x14ac:dyDescent="0.25">
      <c r="C24" t="s">
        <v>75</v>
      </c>
      <c r="D24">
        <v>154</v>
      </c>
      <c r="E24">
        <v>4</v>
      </c>
    </row>
    <row r="25" spans="3:5" x14ac:dyDescent="0.25">
      <c r="C25" t="s">
        <v>76</v>
      </c>
      <c r="D25">
        <v>129</v>
      </c>
      <c r="E25">
        <v>8</v>
      </c>
    </row>
    <row r="26" spans="3:5" x14ac:dyDescent="0.25">
      <c r="C26" t="s">
        <v>77</v>
      </c>
      <c r="D26">
        <v>99</v>
      </c>
      <c r="E26">
        <v>14</v>
      </c>
    </row>
    <row r="27" spans="3:5" x14ac:dyDescent="0.25">
      <c r="C27" t="s">
        <v>78</v>
      </c>
      <c r="D27">
        <v>13</v>
      </c>
      <c r="E27">
        <v>49</v>
      </c>
    </row>
    <row r="28" spans="3:5" x14ac:dyDescent="0.25">
      <c r="C28" t="s">
        <v>79</v>
      </c>
      <c r="D28">
        <v>122</v>
      </c>
      <c r="E28">
        <v>9</v>
      </c>
    </row>
    <row r="29" spans="3:5" x14ac:dyDescent="0.25">
      <c r="C29" t="s">
        <v>80</v>
      </c>
      <c r="D29">
        <v>36</v>
      </c>
      <c r="E29">
        <v>35</v>
      </c>
    </row>
    <row r="30" spans="3:5" x14ac:dyDescent="0.25">
      <c r="C30" t="s">
        <v>81</v>
      </c>
      <c r="D30">
        <v>48</v>
      </c>
      <c r="E30">
        <v>26</v>
      </c>
    </row>
    <row r="31" spans="3:5" x14ac:dyDescent="0.25">
      <c r="C31" t="s">
        <v>82</v>
      </c>
      <c r="D31">
        <v>115</v>
      </c>
      <c r="E31">
        <v>11</v>
      </c>
    </row>
    <row r="35" spans="3:13" x14ac:dyDescent="0.25">
      <c r="K35" t="s">
        <v>101</v>
      </c>
      <c r="L35">
        <v>3</v>
      </c>
      <c r="M35">
        <v>57</v>
      </c>
    </row>
    <row r="36" spans="3:13" x14ac:dyDescent="0.25">
      <c r="K36" t="s">
        <v>102</v>
      </c>
      <c r="L36">
        <v>1</v>
      </c>
      <c r="M36">
        <v>59</v>
      </c>
    </row>
    <row r="37" spans="3:13" x14ac:dyDescent="0.25">
      <c r="K37" t="s">
        <v>103</v>
      </c>
      <c r="L37">
        <v>68</v>
      </c>
      <c r="M37">
        <v>20</v>
      </c>
    </row>
    <row r="38" spans="3:13" x14ac:dyDescent="0.25">
      <c r="K38" t="s">
        <v>104</v>
      </c>
      <c r="L38">
        <v>21</v>
      </c>
      <c r="M38">
        <v>46</v>
      </c>
    </row>
    <row r="39" spans="3:13" x14ac:dyDescent="0.25">
      <c r="K39" t="s">
        <v>105</v>
      </c>
      <c r="L39">
        <v>22</v>
      </c>
      <c r="M39">
        <v>42</v>
      </c>
    </row>
    <row r="40" spans="3:13" x14ac:dyDescent="0.25">
      <c r="K40" t="s">
        <v>106</v>
      </c>
      <c r="L40">
        <v>7</v>
      </c>
      <c r="M40">
        <v>53</v>
      </c>
    </row>
    <row r="41" spans="3:13" x14ac:dyDescent="0.25">
      <c r="K41" t="s">
        <v>107</v>
      </c>
      <c r="L41">
        <v>31</v>
      </c>
      <c r="M41">
        <v>38</v>
      </c>
    </row>
    <row r="42" spans="3:13" x14ac:dyDescent="0.25">
      <c r="C42" t="s">
        <v>113</v>
      </c>
      <c r="D42">
        <v>64</v>
      </c>
      <c r="E42">
        <v>21</v>
      </c>
      <c r="K42" t="s">
        <v>108</v>
      </c>
      <c r="L42">
        <v>9</v>
      </c>
      <c r="M42">
        <v>52</v>
      </c>
    </row>
    <row r="43" spans="3:13" x14ac:dyDescent="0.25">
      <c r="C43" t="s">
        <v>114</v>
      </c>
      <c r="D43">
        <v>13</v>
      </c>
      <c r="E43">
        <v>50</v>
      </c>
      <c r="K43" t="s">
        <v>109</v>
      </c>
      <c r="L43">
        <v>59</v>
      </c>
      <c r="M43">
        <v>23</v>
      </c>
    </row>
    <row r="44" spans="3:13" x14ac:dyDescent="0.25">
      <c r="C44" t="s">
        <v>115</v>
      </c>
      <c r="D44">
        <v>54</v>
      </c>
      <c r="E44">
        <v>25</v>
      </c>
      <c r="K44" t="s">
        <v>110</v>
      </c>
      <c r="L44">
        <v>91</v>
      </c>
      <c r="M44">
        <v>15</v>
      </c>
    </row>
    <row r="45" spans="3:13" x14ac:dyDescent="0.25">
      <c r="C45" t="s">
        <v>116</v>
      </c>
      <c r="D45">
        <v>44</v>
      </c>
      <c r="E45">
        <v>30</v>
      </c>
      <c r="K45" t="s">
        <v>111</v>
      </c>
      <c r="L45">
        <v>119</v>
      </c>
      <c r="M45">
        <v>10</v>
      </c>
    </row>
    <row r="46" spans="3:13" x14ac:dyDescent="0.25">
      <c r="C46" t="s">
        <v>117</v>
      </c>
      <c r="D46">
        <v>17</v>
      </c>
      <c r="E46">
        <v>48</v>
      </c>
      <c r="K46" t="s">
        <v>112</v>
      </c>
      <c r="L46">
        <v>48</v>
      </c>
      <c r="M46">
        <v>27</v>
      </c>
    </row>
    <row r="47" spans="3:13" x14ac:dyDescent="0.25">
      <c r="C47" t="s">
        <v>118</v>
      </c>
      <c r="D47">
        <v>3</v>
      </c>
      <c r="E47">
        <v>58</v>
      </c>
    </row>
    <row r="48" spans="3:13" x14ac:dyDescent="0.25">
      <c r="C48" t="s">
        <v>119</v>
      </c>
      <c r="D48">
        <v>22</v>
      </c>
      <c r="E48">
        <v>43</v>
      </c>
    </row>
    <row r="49" spans="3:5" x14ac:dyDescent="0.25">
      <c r="C49" t="s">
        <v>120</v>
      </c>
      <c r="D49">
        <v>40</v>
      </c>
      <c r="E49">
        <v>32</v>
      </c>
    </row>
    <row r="50" spans="3:5" x14ac:dyDescent="0.25">
      <c r="C50" t="s">
        <v>121</v>
      </c>
      <c r="D50">
        <v>40</v>
      </c>
      <c r="E50">
        <v>33</v>
      </c>
    </row>
    <row r="51" spans="3:5" x14ac:dyDescent="0.25">
      <c r="C51" t="s">
        <v>122</v>
      </c>
      <c r="D51">
        <v>25</v>
      </c>
      <c r="E51">
        <v>40</v>
      </c>
    </row>
    <row r="52" spans="3:5" x14ac:dyDescent="0.25">
      <c r="C52" t="s">
        <v>123</v>
      </c>
      <c r="D52">
        <v>6</v>
      </c>
      <c r="E52">
        <v>55</v>
      </c>
    </row>
    <row r="53" spans="3:5" x14ac:dyDescent="0.25">
      <c r="C53" t="s">
        <v>124</v>
      </c>
      <c r="D53">
        <v>169</v>
      </c>
      <c r="E53">
        <v>2</v>
      </c>
    </row>
    <row r="54" spans="3:5" x14ac:dyDescent="0.25">
      <c r="C54" t="s">
        <v>125</v>
      </c>
      <c r="D54">
        <v>84</v>
      </c>
      <c r="E54">
        <v>16</v>
      </c>
    </row>
    <row r="55" spans="3:5" x14ac:dyDescent="0.25">
      <c r="C55" t="s">
        <v>126</v>
      </c>
      <c r="D55">
        <v>71</v>
      </c>
      <c r="E55">
        <v>18</v>
      </c>
    </row>
    <row r="58" spans="3:5" x14ac:dyDescent="0.25">
      <c r="C58" t="s">
        <v>127</v>
      </c>
      <c r="D58">
        <v>228</v>
      </c>
      <c r="E58">
        <v>1</v>
      </c>
    </row>
    <row r="59" spans="3:5" x14ac:dyDescent="0.25">
      <c r="C59" t="s">
        <v>128</v>
      </c>
      <c r="D59">
        <v>34</v>
      </c>
      <c r="E59">
        <v>37</v>
      </c>
    </row>
    <row r="60" spans="3:5" x14ac:dyDescent="0.25">
      <c r="C60" t="s">
        <v>129</v>
      </c>
      <c r="D60">
        <v>28</v>
      </c>
      <c r="E60">
        <v>39</v>
      </c>
    </row>
  </sheetData>
  <sortState ref="C2:E63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</vt:lpstr>
      <vt:lpstr>Sheet1</vt:lpstr>
      <vt:lpstr>'1'!Print_Area</vt:lpstr>
      <vt:lpstr>'1'!Print_Titles</vt:lpstr>
    </vt:vector>
  </TitlesOfParts>
  <Company>NYC Children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Savranskaya, Galina</dc:creator>
  <cp:lastModifiedBy>LEAH AYKAN</cp:lastModifiedBy>
  <cp:lastPrinted>2017-07-10T19:30:02Z</cp:lastPrinted>
  <dcterms:created xsi:type="dcterms:W3CDTF">2013-08-05T21:25:16Z</dcterms:created>
  <dcterms:modified xsi:type="dcterms:W3CDTF">2017-07-10T19:30:26Z</dcterms:modified>
</cp:coreProperties>
</file>