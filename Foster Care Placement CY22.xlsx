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\\acsad.nycnet\dfsroot\OMBdata\POAU\Mapping_Projects\Geocoding\Foster Care\Placements\Placements_2022\"/>
    </mc:Choice>
  </mc:AlternateContent>
  <xr:revisionPtr revIDLastSave="0" documentId="13_ncr:1_{A4698D6F-14C1-41A7-8663-33E4201BC601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definedNames>
    <definedName name="_xlnm.Print_Area" localSheetId="0">Sheet1!$A$1:$C$82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7" i="1" l="1"/>
  <c r="B76" i="1"/>
  <c r="B70" i="1"/>
  <c r="B53" i="1"/>
  <c r="B38" i="1"/>
  <c r="B17" i="1"/>
  <c r="B78" i="1" l="1"/>
</calcChain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<sst xmlns="http://schemas.openxmlformats.org/spreadsheetml/2006/main" count="80" uniqueCount="77">
  <si>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</si>
  <si>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</si>
  <si>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</si>
  <si>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</si>
  <si>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</si>
  <si>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</si>
  <si>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</si>
  <si>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</si>
  <si>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</si>
  <si>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</si>
  <si>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</si>
  <si>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</si>
  <si>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</si>
  <si>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</si>
  <si>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</si>
  <si>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</si>
  <si>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</si>
  <si>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</si>
  <si>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</si>
  <si>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</si>
  <si>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</si>
  <si>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</si>
  <si>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</si>
  <si>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</si>
  <si>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</si>
  <si>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</si>
  <si>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</si>
  <si>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</si>
  <si>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</si>
  <si>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</si>
  <si>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</si>
  <si>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</si>
  <si>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</si>
  <si>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</si>
  <si>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</si>
  <si>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</si>
  <si>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</si>
  <si>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</si>
  <si>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</si>
  <si>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</si>
  <si>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</si>
  <si>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</si>
  <si>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</si>
  <si>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</si>
  <si>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</si>
  <si>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</si>
  <si>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</si>
  <si>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</si>
  <si>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</si>
  <si>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</si>
  <si>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</si>
  <si>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</si>
  <si>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</si>
  <si>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</si>
  <si>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</si>
  <si>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</si>
  <si>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</si>
  <si>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</si>
  <si>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</si>
  <si>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</si>
  <si>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</si>
  <si>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</si>
  <si>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</si>
  <si>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</si>
  <si>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</si>
  <si>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</si>
  <si>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</si>
  <si>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</si>
  <si>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</si>
  <si>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*Excludes Close to Home Placements</t>
  </si>
  <si>
    <t>Data Source: CCRS</t>
  </si>
  <si>
    <t>Prepared by ACS/DPPM/ORA/JACWR</t>
  </si>
  <si>
    <t>BX07 Kingsbridge Heights/Bedford Park</t>
  </si>
  <si>
    <t>MN09 Morningside Heights/Hamilton</t>
  </si>
  <si>
    <t>QN10 South. Ozone Park/Howard Beach</t>
  </si>
  <si>
    <t>S103 Tottenville/Great Kills</t>
  </si>
  <si>
    <t>Foster Care Placements by Borough/CD of Origin, CY 2022*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</si>
</sst>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1" xfId="1" applyBorder="1" applyAlignment="1">
      <alignment vertical="top"/>
    </xf>
    <xf numFmtId="0" fontId="2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horizontal="left" vertical="top"/>
    </xf>
    <xf numFmtId="0" fontId="1" fillId="0" borderId="3" xfId="1" applyBorder="1" applyAlignment="1">
      <alignment horizontal="left" vertical="center" wrapText="1"/>
    </xf>
    <xf numFmtId="1" fontId="1" fillId="0" borderId="3" xfId="1" applyNumberFormat="1" applyBorder="1" applyAlignment="1">
      <alignment horizontal="right" vertical="center"/>
    </xf>
    <xf numFmtId="0" fontId="1" fillId="0" borderId="3" xfId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3" fontId="2" fillId="0" borderId="4" xfId="1" applyNumberFormat="1" applyFont="1" applyBorder="1" applyAlignment="1">
      <alignment horizontal="right" vertical="center"/>
    </xf>
    <xf numFmtId="1" fontId="2" fillId="0" borderId="4" xfId="1" applyNumberFormat="1" applyFont="1" applyBorder="1" applyAlignment="1">
      <alignment horizontal="right" vertical="center"/>
    </xf>
    <xf numFmtId="0" fontId="2" fillId="0" borderId="5" xfId="1" applyFont="1" applyBorder="1" applyAlignment="1">
      <alignment vertical="center" wrapText="1"/>
    </xf>
    <xf numFmtId="1" fontId="2" fillId="0" borderId="5" xfId="1" applyNumberFormat="1" applyFont="1" applyBorder="1" applyAlignment="1">
      <alignment horizontal="right" vertical="center"/>
    </xf>
    <xf numFmtId="3" fontId="2" fillId="0" borderId="2" xfId="1" applyNumberFormat="1" applyFont="1" applyBorder="1" applyAlignment="1">
      <alignment horizontal="right" vertical="center"/>
    </xf>
    <xf numFmtId="0" fontId="1" fillId="0" borderId="6" xfId="1" applyBorder="1" applyAlignment="1">
      <alignment vertical="top"/>
    </xf>
    <xf numFmtId="0" fontId="4" fillId="0" borderId="0" xfId="1" applyFont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Alignment="1">
      <alignment vertical="center"/>
    </xf>
    <xf numFmtId="0" fontId="5" fillId="0" borderId="0" xfId="1" applyFont="1"/>
    <xf numFmtId="1" fontId="0" fillId="0" borderId="0" xfId="0" applyNumberFormat="1"/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view="pageBreakPreview" zoomScaleNormal="100" zoomScaleSheetLayoutView="100" workbookViewId="0">
      <selection activeCell="H6" sqref="H6"/>
    </sheetView>
  </sheetViews>
  <sheetFormatPr defaultRowHeight="15" x14ac:dyDescent="0.25"/>
  <cols>
    <col min="1" max="1" width="41.7109375" style="17" customWidth="1"/>
    <col min="2" max="2" width="18.28515625" style="17" customWidth="1"/>
  </cols>
  <sheetData>
    <row r="1" spans="1:2" ht="15" customHeight="1" x14ac:dyDescent="0.25">
      <c r="A1" s="20" t="s">
        <v>76</v>
      </c>
      <c r="B1" s="20"/>
    </row>
    <row r="2" spans="1:2" x14ac:dyDescent="0.25">
      <c r="A2" s="1"/>
      <c r="B2" s="1"/>
    </row>
    <row r="3" spans="1:2" x14ac:dyDescent="0.25">
      <c r="A3" s="2" t="s">
        <v>0</v>
      </c>
      <c r="B3" s="3"/>
    </row>
    <row r="4" spans="1:2" x14ac:dyDescent="0.25">
      <c r="A4" s="4" t="s">
        <v>1</v>
      </c>
      <c r="B4" s="5">
        <v>137</v>
      </c>
    </row>
    <row r="5" spans="1:2" x14ac:dyDescent="0.25">
      <c r="A5" s="4" t="s">
        <v>2</v>
      </c>
      <c r="B5" s="5">
        <v>86</v>
      </c>
    </row>
    <row r="6" spans="1:2" x14ac:dyDescent="0.25">
      <c r="A6" s="4" t="s">
        <v>3</v>
      </c>
      <c r="B6" s="5">
        <v>68</v>
      </c>
    </row>
    <row r="7" spans="1:2" x14ac:dyDescent="0.25">
      <c r="A7" s="4" t="s">
        <v>4</v>
      </c>
      <c r="B7" s="5">
        <v>112</v>
      </c>
    </row>
    <row r="8" spans="1:2" x14ac:dyDescent="0.25">
      <c r="A8" s="4" t="s">
        <v>5</v>
      </c>
      <c r="B8" s="5">
        <v>69</v>
      </c>
    </row>
    <row r="9" spans="1:2" x14ac:dyDescent="0.25">
      <c r="A9" s="4" t="s">
        <v>6</v>
      </c>
      <c r="B9" s="5">
        <v>87</v>
      </c>
    </row>
    <row r="10" spans="1:2" x14ac:dyDescent="0.25">
      <c r="A10" s="4" t="s">
        <v>72</v>
      </c>
      <c r="B10" s="5">
        <v>66</v>
      </c>
    </row>
    <row r="11" spans="1:2" x14ac:dyDescent="0.25">
      <c r="A11" s="4" t="s">
        <v>7</v>
      </c>
      <c r="B11" s="5">
        <v>15</v>
      </c>
    </row>
    <row r="12" spans="1:2" x14ac:dyDescent="0.25">
      <c r="A12" s="4" t="s">
        <v>8</v>
      </c>
      <c r="B12" s="5">
        <v>102</v>
      </c>
    </row>
    <row r="13" spans="1:2" x14ac:dyDescent="0.25">
      <c r="A13" s="4" t="s">
        <v>9</v>
      </c>
      <c r="B13" s="5">
        <v>26</v>
      </c>
    </row>
    <row r="14" spans="1:2" x14ac:dyDescent="0.25">
      <c r="A14" s="4" t="s">
        <v>10</v>
      </c>
      <c r="B14" s="5">
        <v>34</v>
      </c>
    </row>
    <row r="15" spans="1:2" x14ac:dyDescent="0.25">
      <c r="A15" s="4" t="s">
        <v>11</v>
      </c>
      <c r="B15" s="5">
        <v>64</v>
      </c>
    </row>
    <row r="16" spans="1:2" x14ac:dyDescent="0.25">
      <c r="A16" s="6" t="s">
        <v>12</v>
      </c>
      <c r="B16" s="5">
        <v>37</v>
      </c>
    </row>
    <row r="17" spans="1:2" x14ac:dyDescent="0.25">
      <c r="A17" s="7" t="s">
        <v>13</v>
      </c>
      <c r="B17" s="8">
        <f>SUM(B4:B16)</f>
        <v>903</v>
      </c>
    </row>
    <row r="18" spans="1:2" x14ac:dyDescent="0.25">
      <c r="A18" s="2" t="s">
        <v>14</v>
      </c>
      <c r="B18" s="3"/>
    </row>
    <row r="19" spans="1:2" x14ac:dyDescent="0.25">
      <c r="A19" s="4" t="s">
        <v>15</v>
      </c>
      <c r="B19" s="5">
        <v>23</v>
      </c>
    </row>
    <row r="20" spans="1:2" x14ac:dyDescent="0.25">
      <c r="A20" s="4" t="s">
        <v>16</v>
      </c>
      <c r="B20" s="5">
        <v>32</v>
      </c>
    </row>
    <row r="21" spans="1:2" x14ac:dyDescent="0.25">
      <c r="A21" s="4" t="s">
        <v>17</v>
      </c>
      <c r="B21" s="5">
        <v>66</v>
      </c>
    </row>
    <row r="22" spans="1:2" x14ac:dyDescent="0.25">
      <c r="A22" s="4" t="s">
        <v>18</v>
      </c>
      <c r="B22" s="5">
        <v>42</v>
      </c>
    </row>
    <row r="23" spans="1:2" x14ac:dyDescent="0.25">
      <c r="A23" s="4" t="s">
        <v>19</v>
      </c>
      <c r="B23" s="5">
        <v>100</v>
      </c>
    </row>
    <row r="24" spans="1:2" x14ac:dyDescent="0.25">
      <c r="A24" s="4" t="s">
        <v>20</v>
      </c>
      <c r="B24" s="5">
        <v>14</v>
      </c>
    </row>
    <row r="25" spans="1:2" x14ac:dyDescent="0.25">
      <c r="A25" s="4" t="s">
        <v>21</v>
      </c>
      <c r="B25" s="5">
        <v>16</v>
      </c>
    </row>
    <row r="26" spans="1:2" x14ac:dyDescent="0.25">
      <c r="A26" s="4" t="s">
        <v>22</v>
      </c>
      <c r="B26" s="5">
        <v>35</v>
      </c>
    </row>
    <row r="27" spans="1:2" x14ac:dyDescent="0.25">
      <c r="A27" s="4" t="s">
        <v>23</v>
      </c>
      <c r="B27" s="5">
        <v>15</v>
      </c>
    </row>
    <row r="28" spans="1:2" x14ac:dyDescent="0.25">
      <c r="A28" s="4" t="s">
        <v>24</v>
      </c>
      <c r="B28" s="5">
        <v>16</v>
      </c>
    </row>
    <row r="29" spans="1:2" x14ac:dyDescent="0.25">
      <c r="A29" s="4" t="s">
        <v>25</v>
      </c>
      <c r="B29" s="5">
        <v>15</v>
      </c>
    </row>
    <row r="30" spans="1:2" x14ac:dyDescent="0.25">
      <c r="A30" s="4" t="s">
        <v>26</v>
      </c>
      <c r="B30" s="5">
        <v>3</v>
      </c>
    </row>
    <row r="31" spans="1:2" x14ac:dyDescent="0.25">
      <c r="A31" s="4" t="s">
        <v>27</v>
      </c>
      <c r="B31" s="5">
        <v>35</v>
      </c>
    </row>
    <row r="32" spans="1:2" x14ac:dyDescent="0.25">
      <c r="A32" s="4" t="s">
        <v>28</v>
      </c>
      <c r="B32" s="5">
        <v>23</v>
      </c>
    </row>
    <row r="33" spans="1:2" x14ac:dyDescent="0.25">
      <c r="A33" s="4" t="s">
        <v>29</v>
      </c>
      <c r="B33" s="5">
        <v>21</v>
      </c>
    </row>
    <row r="34" spans="1:2" x14ac:dyDescent="0.25">
      <c r="A34" s="4" t="s">
        <v>30</v>
      </c>
      <c r="B34" s="5">
        <v>103</v>
      </c>
    </row>
    <row r="35" spans="1:2" x14ac:dyDescent="0.25">
      <c r="A35" s="4" t="s">
        <v>31</v>
      </c>
      <c r="B35" s="5">
        <v>55</v>
      </c>
    </row>
    <row r="36" spans="1:2" x14ac:dyDescent="0.25">
      <c r="A36" s="4" t="s">
        <v>32</v>
      </c>
      <c r="B36" s="5">
        <v>62</v>
      </c>
    </row>
    <row r="37" spans="1:2" x14ac:dyDescent="0.25">
      <c r="A37" s="6" t="s">
        <v>12</v>
      </c>
      <c r="B37" s="5">
        <v>18</v>
      </c>
    </row>
    <row r="38" spans="1:2" x14ac:dyDescent="0.25">
      <c r="A38" s="7" t="s">
        <v>33</v>
      </c>
      <c r="B38" s="8">
        <f>SUM(B19:B37)</f>
        <v>694</v>
      </c>
    </row>
    <row r="39" spans="1:2" x14ac:dyDescent="0.25">
      <c r="A39" s="2" t="s">
        <v>34</v>
      </c>
      <c r="B39" s="3"/>
    </row>
    <row r="40" spans="1:2" x14ac:dyDescent="0.25">
      <c r="A40" s="4" t="s">
        <v>35</v>
      </c>
      <c r="B40" s="5">
        <v>4</v>
      </c>
    </row>
    <row r="41" spans="1:2" x14ac:dyDescent="0.25">
      <c r="A41" s="4" t="s">
        <v>36</v>
      </c>
      <c r="B41" s="5">
        <v>0</v>
      </c>
    </row>
    <row r="42" spans="1:2" x14ac:dyDescent="0.25">
      <c r="A42" s="4" t="s">
        <v>37</v>
      </c>
      <c r="B42" s="5">
        <v>35</v>
      </c>
    </row>
    <row r="43" spans="1:2" x14ac:dyDescent="0.25">
      <c r="A43" s="4" t="s">
        <v>38</v>
      </c>
      <c r="B43" s="5">
        <v>24</v>
      </c>
    </row>
    <row r="44" spans="1:2" x14ac:dyDescent="0.25">
      <c r="A44" s="4" t="s">
        <v>39</v>
      </c>
      <c r="B44" s="5">
        <v>15</v>
      </c>
    </row>
    <row r="45" spans="1:2" x14ac:dyDescent="0.25">
      <c r="A45" s="4" t="s">
        <v>40</v>
      </c>
      <c r="B45" s="5">
        <v>7</v>
      </c>
    </row>
    <row r="46" spans="1:2" x14ac:dyDescent="0.25">
      <c r="A46" s="4" t="s">
        <v>41</v>
      </c>
      <c r="B46" s="5">
        <v>25</v>
      </c>
    </row>
    <row r="47" spans="1:2" x14ac:dyDescent="0.25">
      <c r="A47" s="4" t="s">
        <v>42</v>
      </c>
      <c r="B47" s="5">
        <v>4</v>
      </c>
    </row>
    <row r="48" spans="1:2" x14ac:dyDescent="0.25">
      <c r="A48" s="4" t="s">
        <v>73</v>
      </c>
      <c r="B48" s="5">
        <v>33</v>
      </c>
    </row>
    <row r="49" spans="1:2" x14ac:dyDescent="0.25">
      <c r="A49" s="4" t="s">
        <v>43</v>
      </c>
      <c r="B49" s="5">
        <v>79</v>
      </c>
    </row>
    <row r="50" spans="1:2" x14ac:dyDescent="0.25">
      <c r="A50" s="4" t="s">
        <v>44</v>
      </c>
      <c r="B50" s="5">
        <v>87</v>
      </c>
    </row>
    <row r="51" spans="1:2" x14ac:dyDescent="0.25">
      <c r="A51" s="4" t="s">
        <v>45</v>
      </c>
      <c r="B51" s="5">
        <v>35</v>
      </c>
    </row>
    <row r="52" spans="1:2" x14ac:dyDescent="0.25">
      <c r="A52" s="6" t="s">
        <v>12</v>
      </c>
      <c r="B52" s="5">
        <v>19</v>
      </c>
    </row>
    <row r="53" spans="1:2" x14ac:dyDescent="0.25">
      <c r="A53" s="7" t="s">
        <v>46</v>
      </c>
      <c r="B53" s="9">
        <f>SUM(B40:B52)</f>
        <v>367</v>
      </c>
    </row>
    <row r="54" spans="1:2" x14ac:dyDescent="0.25">
      <c r="A54" s="2" t="s">
        <v>47</v>
      </c>
      <c r="B54" s="3"/>
    </row>
    <row r="55" spans="1:2" x14ac:dyDescent="0.25">
      <c r="A55" s="4" t="s">
        <v>48</v>
      </c>
      <c r="B55" s="5">
        <v>36</v>
      </c>
    </row>
    <row r="56" spans="1:2" x14ac:dyDescent="0.25">
      <c r="A56" s="4" t="s">
        <v>49</v>
      </c>
      <c r="B56" s="5">
        <v>12</v>
      </c>
    </row>
    <row r="57" spans="1:2" x14ac:dyDescent="0.25">
      <c r="A57" s="4" t="s">
        <v>50</v>
      </c>
      <c r="B57" s="5">
        <v>29</v>
      </c>
    </row>
    <row r="58" spans="1:2" x14ac:dyDescent="0.25">
      <c r="A58" s="4" t="s">
        <v>51</v>
      </c>
      <c r="B58" s="5">
        <v>28</v>
      </c>
    </row>
    <row r="59" spans="1:2" x14ac:dyDescent="0.25">
      <c r="A59" s="4" t="s">
        <v>52</v>
      </c>
      <c r="B59" s="5">
        <v>20</v>
      </c>
    </row>
    <row r="60" spans="1:2" x14ac:dyDescent="0.25">
      <c r="A60" s="4" t="s">
        <v>53</v>
      </c>
      <c r="B60" s="5">
        <v>6</v>
      </c>
    </row>
    <row r="61" spans="1:2" x14ac:dyDescent="0.25">
      <c r="A61" s="4" t="s">
        <v>54</v>
      </c>
      <c r="B61" s="5">
        <v>20</v>
      </c>
    </row>
    <row r="62" spans="1:2" x14ac:dyDescent="0.25">
      <c r="A62" s="4" t="s">
        <v>55</v>
      </c>
      <c r="B62" s="5">
        <v>21</v>
      </c>
    </row>
    <row r="63" spans="1:2" x14ac:dyDescent="0.25">
      <c r="A63" s="4" t="s">
        <v>56</v>
      </c>
      <c r="B63" s="5">
        <v>27</v>
      </c>
    </row>
    <row r="64" spans="1:2" x14ac:dyDescent="0.25">
      <c r="A64" s="4" t="s">
        <v>74</v>
      </c>
      <c r="B64" s="5">
        <v>34</v>
      </c>
    </row>
    <row r="65" spans="1:3" x14ac:dyDescent="0.25">
      <c r="A65" s="4" t="s">
        <v>57</v>
      </c>
      <c r="B65" s="5">
        <v>4</v>
      </c>
    </row>
    <row r="66" spans="1:3" x14ac:dyDescent="0.25">
      <c r="A66" s="4" t="s">
        <v>58</v>
      </c>
      <c r="B66" s="5">
        <v>79</v>
      </c>
    </row>
    <row r="67" spans="1:3" x14ac:dyDescent="0.25">
      <c r="A67" s="4" t="s">
        <v>59</v>
      </c>
      <c r="B67" s="5">
        <v>58</v>
      </c>
    </row>
    <row r="68" spans="1:3" x14ac:dyDescent="0.25">
      <c r="A68" s="4" t="s">
        <v>60</v>
      </c>
      <c r="B68" s="5">
        <v>59</v>
      </c>
    </row>
    <row r="69" spans="1:3" x14ac:dyDescent="0.25">
      <c r="A69" s="6" t="s">
        <v>61</v>
      </c>
      <c r="B69" s="5">
        <v>12</v>
      </c>
    </row>
    <row r="70" spans="1:3" x14ac:dyDescent="0.25">
      <c r="A70" s="7" t="s">
        <v>62</v>
      </c>
      <c r="B70" s="9">
        <f>SUM(B55:B69)</f>
        <v>445</v>
      </c>
    </row>
    <row r="71" spans="1:3" x14ac:dyDescent="0.25">
      <c r="A71" s="2" t="s">
        <v>63</v>
      </c>
      <c r="B71" s="3"/>
    </row>
    <row r="72" spans="1:3" x14ac:dyDescent="0.25">
      <c r="A72" s="4" t="s">
        <v>64</v>
      </c>
      <c r="B72" s="5">
        <v>121</v>
      </c>
    </row>
    <row r="73" spans="1:3" x14ac:dyDescent="0.25">
      <c r="A73" s="4" t="s">
        <v>65</v>
      </c>
      <c r="B73" s="5">
        <v>19</v>
      </c>
    </row>
    <row r="74" spans="1:3" x14ac:dyDescent="0.25">
      <c r="A74" s="4" t="s">
        <v>75</v>
      </c>
      <c r="B74" s="5">
        <v>21</v>
      </c>
    </row>
    <row r="75" spans="1:3" x14ac:dyDescent="0.25">
      <c r="A75" s="6" t="s">
        <v>12</v>
      </c>
      <c r="B75" s="5">
        <v>4</v>
      </c>
    </row>
    <row r="76" spans="1:3" x14ac:dyDescent="0.25">
      <c r="A76" s="7" t="s">
        <v>66</v>
      </c>
      <c r="B76" s="9">
        <f>SUM(B72:B75)</f>
        <v>165</v>
      </c>
    </row>
    <row r="77" spans="1:3" x14ac:dyDescent="0.25">
      <c r="A77" s="10" t="s">
        <v>67</v>
      </c>
      <c r="B77" s="11">
        <f>119+16-9</f>
        <v>126</v>
      </c>
      <c r="C77" s="19"/>
    </row>
    <row r="78" spans="1:3" x14ac:dyDescent="0.25">
      <c r="A78" s="2" t="s">
        <v>68</v>
      </c>
      <c r="B78" s="12">
        <f>SUM(B17,B38,B53,B70,B76,B77)</f>
        <v>2700</v>
      </c>
      <c r="C78" s="19"/>
    </row>
    <row r="79" spans="1:3" x14ac:dyDescent="0.25">
      <c r="A79" s="13"/>
      <c r="B79" s="13"/>
    </row>
    <row r="80" spans="1:3" x14ac:dyDescent="0.25">
      <c r="A80" s="18" t="s">
        <v>69</v>
      </c>
      <c r="B80" s="14"/>
    </row>
    <row r="81" spans="1:2" x14ac:dyDescent="0.25">
      <c r="A81" s="15" t="s">
        <v>71</v>
      </c>
      <c r="B81" s="16"/>
    </row>
    <row r="82" spans="1:2" x14ac:dyDescent="0.25">
      <c r="A82" s="15" t="s">
        <v>70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Savranskaya, Galina</cp:lastModifiedBy>
  <cp:lastPrinted>2022-03-29T18:16:32Z</cp:lastPrinted>
  <dcterms:created xsi:type="dcterms:W3CDTF">2020-03-09T16:00:44Z</dcterms:created>
  <dcterms:modified xsi:type="dcterms:W3CDTF">2023-03-30T21:30:13Z</dcterms:modified>
</cp:coreProperties>
</file>